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dd19d8eb14e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直接导入" sheetId="1" r:id="Rd004b299ec724b46"/>
    <x:sheet xmlns:r="http://schemas.openxmlformats.org/officeDocument/2006/relationships" name="全链联调数据" sheetId="2" r:id="Rc9529ee7350046f3"/>
    <x:sheet xmlns:r="http://schemas.openxmlformats.org/officeDocument/2006/relationships" name="主键回填" sheetId="3" r:id="R6b38b74b75494a01"/>
    <x:sheet xmlns:r="http://schemas.openxmlformats.org/officeDocument/2006/relationships" name="预期结果" sheetId="4" r:id="R67ff3114f8154cc4"/>
    <x:sheet xmlns:r="http://schemas.openxmlformats.org/officeDocument/2006/relationships" name="导入执行结果" sheetId="5" r:id="R7967743d0167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 hh:mm:ss"/>
    <x:numFmt numFmtId="202" formatCode="0.00"/>
    <x:numFmt numFmtId="203" formatCode="0"/>
    <x:numFmt numFmtId="204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1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2" fontId="0" fillId="0" borderId="3" xfId="0" applyNumberFormat="1" applyFont="1" applyFill="1" applyBorder="1" applyAlignment="1">
      <x:alignment vertical="center" wrapText="1"/>
    </x:xf>
    <x:xf numFmtId="202" fontId="0" fillId="0" borderId="6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vertical="center" wrapText="1"/>
    </x:xf>
    <x:xf numFmtId="203" fontId="0" fillId="0" borderId="2" xfId="0" applyNumberFormat="1" applyFont="1" applyFill="1" applyBorder="1" applyAlignment="1">
      <x:alignment vertical="center" wrapText="1"/>
    </x:xf>
    <x:xf numFmtId="203" fontId="0" fillId="0" borderId="5" xfId="0" applyNumberFormat="1" applyFont="1" applyFill="1" applyBorder="1" applyAlignment="1">
      <x:alignment vertical="center" wrapText="1"/>
    </x:xf>
    <x:xf numFmtId="203" fontId="0" fillId="0" borderId="8" xfId="0" applyNumberFormat="1" applyFont="1" applyFill="1" applyBorder="1" applyAlignment="1">
      <x:alignment vertical="center" wrapText="1"/>
    </x:xf>
    <x:xf numFmtId="204" fontId="0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67124f92b940e0" /><Relationship Type="http://schemas.openxmlformats.org/officeDocument/2006/relationships/theme" Target="/xl/theme/theme1.xml" Id="R4addec7cdabf42c9" /><Relationship Type="http://schemas.openxmlformats.org/officeDocument/2006/relationships/sharedStrings" Target="/xl/sharedStrings.xml" Id="Redab7da6bbcc4284" /><Relationship Type="http://schemas.openxmlformats.org/officeDocument/2006/relationships/worksheet" Target="/xl/worksheets/sheet1.xml" Id="Rd004b299ec724b46" /><Relationship Type="http://schemas.openxmlformats.org/officeDocument/2006/relationships/worksheet" Target="/xl/worksheets/sheet2.xml" Id="Rc9529ee7350046f3" /><Relationship Type="http://schemas.openxmlformats.org/officeDocument/2006/relationships/worksheet" Target="/xl/worksheets/sheet3.xml" Id="R6b38b74b75494a01" /><Relationship Type="http://schemas.openxmlformats.org/officeDocument/2006/relationships/worksheet" Target="/xl/worksheets/sheet4.xml" Id="R67ff3114f8154cc4" /><Relationship Type="http://schemas.openxmlformats.org/officeDocument/2006/relationships/worksheet" Target="/xl/worksheets/sheet5.xml" Id="R7967743d01674aec" /><Relationship Type="http://schemas.microsoft.com/office/2017/10/relationships/person" Target="/xl/persons/person.xml" Id="R7efa6afa4e474756" /></Relationships>
</file>

<file path=xl/persons/person.xml><?xml version="1.0" encoding="utf-8"?>
<xltc:personList xmlns:xltc="http://schemas.microsoft.com/office/spreadsheetml/2018/threadedcomments">
  <xltc:person displayName="23软4 姚昱竹" id="{27BB77A9-E420-457F-A3CC-A4EAE1E29B8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14" hidden="0" customWidth="1"/>
    <x:col min="5" max="5" width="18" hidden="0" customWidth="1"/>
    <x:col min="6" max="6" width="29" hidden="0" customWidth="1"/>
    <x:col min="7" max="7" width="28" hidden="0" customWidth="1"/>
    <x:col min="8" max="8" width="24" hidden="0" customWidth="1"/>
    <x:col min="9" max="9" width="17" hidden="0" customWidth="1"/>
    <x:col min="10" max="10" width="17" hidden="0" customWidth="1"/>
    <x:col min="11" max="11" width="17" hidden="0" customWidth="1"/>
    <x:col min="12" max="12" width="38" hidden="0" customWidth="1"/>
  </x:cols>
  <x:sheetData>
    <x:row r="1" ht="15" hidden="0" customHeight="1">
      <x:c r="A1" s="6" t="str">
        <x:v>客户名称</x:v>
      </x:c>
      <x:c r="B1" s="6" t="str">
        <x:v>手机</x:v>
      </x:c>
      <x:c r="C1" s="6" t="str">
        <x:v>电话</x:v>
      </x:c>
      <x:c r="D1" s="6" t="str">
        <x:v>QQ</x:v>
      </x:c>
      <x:c r="E1" s="6" t="str">
        <x:v>微信</x:v>
      </x:c>
      <x:c r="F1" s="6" t="str">
        <x:v>邮箱</x:v>
      </x:c>
      <x:c r="G1" s="6" t="str">
        <x:v>地区</x:v>
      </x:c>
      <x:c r="H1" s="6" t="str">
        <x:v>详细地址</x:v>
      </x:c>
      <x:c r="I1" s="6" t="str">
        <x:v>所属行业</x:v>
      </x:c>
      <x:c r="J1" s="6" t="str">
        <x:v>客户等级</x:v>
      </x:c>
      <x:c r="K1" s="6" t="str">
        <x:v>客户来源</x:v>
      </x:c>
      <x:c r="L1" s="6" t="str">
        <x:v>备注</x:v>
      </x:c>
    </x:row>
    <x:row r="2" ht="15" hidden="0" customHeight="1">
      <x:c r="A2" s="25" t="str">
        <x:v>[联调0714]星河科技</x:v>
      </x:c>
      <x:c r="B2" s="34" t="str">
        <x:v>19900000101</x:v>
      </x:c>
      <x:c r="C2" s="34" t="str">
        <x:v>010-80000001</x:v>
      </x:c>
      <x:c r="D2" s="34" t="str">
        <x:v>710001</x:v>
      </x:c>
      <x:c r="E2" s="34" t="str">
        <x:v>crm_it_001</x:v>
      </x:c>
      <x:c r="F2" s="34" t="str">
        <x:v>crm-it-001@example.test</x:v>
      </x:c>
      <x:c r="G2" s="26" t="str">
        <x:v>北京市 北京市 海淀区</x:v>
      </x:c>
      <x:c r="H2" s="26" t="str">
        <x:v>联调路1号</x:v>
      </x:c>
      <x:c r="I2" s="26" t="str">
        <x:v>互联网</x:v>
      </x:c>
      <x:c r="J2" s="26" t="str">
        <x:v>重点客户</x:v>
      </x:c>
      <x:c r="K2" s="26" t="str">
        <x:v>搜索引擎</x:v>
      </x:c>
      <x:c r="L2" s="27" t="str">
        <x:v>[CRM-IT-20260714-01] CUS-001；负责人1001</x:v>
      </x:c>
    </x:row>
    <x:row r="3" ht="15" hidden="0" customHeight="1">
      <x:c r="A3" s="28" t="str">
        <x:v>[联调0714]远航制造</x:v>
      </x:c>
      <x:c r="B3" s="35" t="str">
        <x:v>19900000102</x:v>
      </x:c>
      <x:c r="C3" s="35" t="str">
        <x:v>021-80000002</x:v>
      </x:c>
      <x:c r="D3" s="35" t="str">
        <x:v>710002</x:v>
      </x:c>
      <x:c r="E3" s="35" t="str">
        <x:v>crm_it_002</x:v>
      </x:c>
      <x:c r="F3" s="35" t="str">
        <x:v>crm-it-002@example.test</x:v>
      </x:c>
      <x:c r="G3" s="29" t="str">
        <x:v>上海市 上海市 浦东新区</x:v>
      </x:c>
      <x:c r="H3" s="29" t="str">
        <x:v>联调路2号</x:v>
      </x:c>
      <x:c r="I3" s="29" t="str">
        <x:v>制造业</x:v>
      </x:c>
      <x:c r="J3" s="29" t="str">
        <x:v>重点客户</x:v>
      </x:c>
      <x:c r="K3" s="29" t="str">
        <x:v>客户介绍</x:v>
      </x:c>
      <x:c r="L3" s="30" t="str">
        <x:v>[CRM-IT-20260714-01] CUS-002；负责人1001</x:v>
      </x:c>
    </x:row>
    <x:row r="4" ht="15" hidden="0" customHeight="1">
      <x:c r="A4" s="28" t="str">
        <x:v>[联调0714]青云服务</x:v>
      </x:c>
      <x:c r="B4" s="35" t="str">
        <x:v>19900000103</x:v>
      </x:c>
      <x:c r="C4" s="35" t="str">
        <x:v>020-80000003</x:v>
      </x:c>
      <x:c r="D4" s="35" t="str">
        <x:v>710003</x:v>
      </x:c>
      <x:c r="E4" s="35" t="str">
        <x:v>crm_it_003</x:v>
      </x:c>
      <x:c r="F4" s="35" t="str">
        <x:v>crm-it-003@example.test</x:v>
      </x:c>
      <x:c r="G4" s="29" t="str">
        <x:v>广东省 广州市 天河区</x:v>
      </x:c>
      <x:c r="H4" s="29" t="str">
        <x:v>联调路3号</x:v>
      </x:c>
      <x:c r="I4" s="29" t="str">
        <x:v>企业服务</x:v>
      </x:c>
      <x:c r="J4" s="29" t="str">
        <x:v>普通客户</x:v>
      </x:c>
      <x:c r="K4" s="29" t="str">
        <x:v>线上咨询</x:v>
      </x:c>
      <x:c r="L4" s="30" t="str">
        <x:v>[CRM-IT-20260714-01] CUS-003；负责人1002</x:v>
      </x:c>
    </x:row>
    <x:row r="5" ht="15" hidden="0" customHeight="1">
      <x:c r="A5" s="28" t="str">
        <x:v>[联调0714]晨曦贸易</x:v>
      </x:c>
      <x:c r="B5" s="35" t="str">
        <x:v>19900000104</x:v>
      </x:c>
      <x:c r="C5" s="35" t="str">
        <x:v>0755-80000004</x:v>
      </x:c>
      <x:c r="D5" s="35" t="str">
        <x:v>710004</x:v>
      </x:c>
      <x:c r="E5" s="35" t="str">
        <x:v>crm_it_004</x:v>
      </x:c>
      <x:c r="F5" s="35" t="str">
        <x:v>crm-it-004@example.test</x:v>
      </x:c>
      <x:c r="G5" s="29" t="str">
        <x:v>广东省 深圳市 南山区</x:v>
      </x:c>
      <x:c r="H5" s="29" t="str">
        <x:v>联调路4号</x:v>
      </x:c>
      <x:c r="I5" s="29" t="str">
        <x:v>批发零售</x:v>
      </x:c>
      <x:c r="J5" s="29" t="str">
        <x:v>普通客户</x:v>
      </x:c>
      <x:c r="K5" s="29" t="str">
        <x:v>线下活动</x:v>
      </x:c>
      <x:c r="L5" s="30" t="str">
        <x:v>[CRM-IT-20260714-01] CUS-004；公海投入领取</x:v>
      </x:c>
    </x:row>
    <x:row r="6" ht="15" hidden="0" customHeight="1">
      <x:c r="A6" s="28" t="str">
        <x:v>[联调0714]北辰教育</x:v>
      </x:c>
      <x:c r="B6" s="35" t="str">
        <x:v>19900000105</x:v>
      </x:c>
      <x:c r="C6" s="35" t="str">
        <x:v>0571-80000005</x:v>
      </x:c>
      <x:c r="D6" s="35" t="str">
        <x:v>710005</x:v>
      </x:c>
      <x:c r="E6" s="35" t="str">
        <x:v>crm_it_005</x:v>
      </x:c>
      <x:c r="F6" s="35" t="str">
        <x:v>crm-it-005@example.test</x:v>
      </x:c>
      <x:c r="G6" s="29" t="str">
        <x:v>浙江省 杭州市 西湖区</x:v>
      </x:c>
      <x:c r="H6" s="29" t="str">
        <x:v>联调路5号</x:v>
      </x:c>
      <x:c r="I6" s="29" t="str">
        <x:v>教育</x:v>
      </x:c>
      <x:c r="J6" s="29" t="str">
        <x:v>普通客户</x:v>
      </x:c>
      <x:c r="K6" s="29" t="str">
        <x:v>搜索引擎</x:v>
      </x:c>
      <x:c r="L6" s="30" t="str">
        <x:v>[CRM-IT-20260714-01] CUS-005；空数据月份</x:v>
      </x:c>
    </x:row>
    <x:row r="7" ht="15" hidden="0" customHeight="1">
      <x:c r="A7" s="28" t="str">
        <x:v>[联调0714]华光医疗</x:v>
      </x:c>
      <x:c r="B7" s="35" t="str">
        <x:v>19900000106</x:v>
      </x:c>
      <x:c r="C7" s="35" t="str">
        <x:v>025-80000006</x:v>
      </x:c>
      <x:c r="D7" s="35" t="str">
        <x:v>710006</x:v>
      </x:c>
      <x:c r="E7" s="35" t="str">
        <x:v>crm_it_006</x:v>
      </x:c>
      <x:c r="F7" s="35" t="str">
        <x:v>crm-it-006@example.test</x:v>
      </x:c>
      <x:c r="G7" s="29" t="str">
        <x:v>江苏省 南京市 鼓楼区</x:v>
      </x:c>
      <x:c r="H7" s="29" t="str">
        <x:v>联调路6号</x:v>
      </x:c>
      <x:c r="I7" s="29" t="str">
        <x:v>医疗健康</x:v>
      </x:c>
      <x:c r="J7" s="29" t="str">
        <x:v>重点客户</x:v>
      </x:c>
      <x:c r="K7" s="29" t="str">
        <x:v>客户介绍</x:v>
      </x:c>
      <x:c r="L7" s="30" t="str">
        <x:v>[CRM-IT-20260714-01] CUS-006；审批拒绝链路</x:v>
      </x:c>
    </x:row>
    <x:row r="8" ht="15" hidden="0" customHeight="1">
      <x:c r="A8" s="28" t="str">
        <x:v>[联调0714]南风物流</x:v>
      </x:c>
      <x:c r="B8" s="35" t="str">
        <x:v>19900000107</x:v>
      </x:c>
      <x:c r="C8" s="35" t="str">
        <x:v>028-80000007</x:v>
      </x:c>
      <x:c r="D8" s="35" t="str">
        <x:v>710007</x:v>
      </x:c>
      <x:c r="E8" s="35" t="str">
        <x:v>crm_it_007</x:v>
      </x:c>
      <x:c r="F8" s="35" t="str">
        <x:v>crm-it-007@example.test</x:v>
      </x:c>
      <x:c r="G8" s="29" t="str">
        <x:v>四川省 成都市 高新区</x:v>
      </x:c>
      <x:c r="H8" s="29" t="str">
        <x:v>联调路7号</x:v>
      </x:c>
      <x:c r="I8" s="29" t="str">
        <x:v>物流</x:v>
      </x:c>
      <x:c r="J8" s="29" t="str">
        <x:v>普通客户</x:v>
      </x:c>
      <x:c r="K8" s="29" t="str">
        <x:v>线上咨询</x:v>
      </x:c>
      <x:c r="L8" s="30" t="str">
        <x:v>[CRM-IT-20260714-01] CUS-007；金额边界</x:v>
      </x:c>
    </x:row>
    <x:row r="9" ht="15" hidden="0" customHeight="1">
      <x:c r="A9" s="28" t="str">
        <x:v>[联调0714]权限隔离客户</x:v>
      </x:c>
      <x:c r="B9" s="35" t="str">
        <x:v>19900000109</x:v>
      </x:c>
      <x:c r="C9" s="35" t="str">
        <x:v>023-80000009</x:v>
      </x:c>
      <x:c r="D9" s="35" t="str">
        <x:v>710009</x:v>
      </x:c>
      <x:c r="E9" s="35" t="str">
        <x:v>crm_it_009</x:v>
      </x:c>
      <x:c r="F9" s="35" t="str">
        <x:v>crm-it-009@example.test</x:v>
      </x:c>
      <x:c r="G9" s="29" t="str">
        <x:v>重庆市 重庆市 渝北区</x:v>
      </x:c>
      <x:c r="H9" s="29" t="str">
        <x:v>联调路9号</x:v>
      </x:c>
      <x:c r="I9" s="29" t="str">
        <x:v>企业服务</x:v>
      </x:c>
      <x:c r="J9" s="29" t="str">
        <x:v>普通客户</x:v>
      </x:c>
      <x:c r="K9" s="29" t="str">
        <x:v>线下活动</x:v>
      </x:c>
      <x:c r="L9" s="30" t="str">
        <x:v>[CRM-IT-20260714-01] CUS-009；负责人1002</x:v>
      </x:c>
    </x:row>
    <x:row r="10" ht="15" hidden="0" customHeight="1">
      <x:c r="A10" s="28" t="str">
        <x:v>[联调0714]成交周期客户</x:v>
      </x:c>
      <x:c r="B10" s="35" t="str">
        <x:v>19900000110</x:v>
      </x:c>
      <x:c r="C10" s="35" t="str">
        <x:v>029-80000010</x:v>
      </x:c>
      <x:c r="D10" s="35" t="str">
        <x:v>710010</x:v>
      </x:c>
      <x:c r="E10" s="35" t="str">
        <x:v>crm_it_010</x:v>
      </x:c>
      <x:c r="F10" s="35" t="str">
        <x:v>crm-it-010@example.test</x:v>
      </x:c>
      <x:c r="G10" s="29" t="str">
        <x:v>陕西省 西安市 雁塔区</x:v>
      </x:c>
      <x:c r="H10" s="29" t="str">
        <x:v>联调路10号</x:v>
      </x:c>
      <x:c r="I10" s="29" t="str">
        <x:v>互联网</x:v>
      </x:c>
      <x:c r="J10" s="29" t="str">
        <x:v>重点客户</x:v>
      </x:c>
      <x:c r="K10" s="29" t="str">
        <x:v>搜索引擎</x:v>
      </x:c>
      <x:c r="L10" s="30" t="str">
        <x:v>[CRM-IT-20260714-01] CUS-010；成交周期</x:v>
      </x:c>
    </x:row>
    <x:row r="11" ht="15" hidden="0" customHeight="1">
      <x:c r="A11" s="31" t="str">
        <x:v>[联调0714]零金额客户</x:v>
      </x:c>
      <x:c r="B11" s="36" t="str">
        <x:v>19900000111</x:v>
      </x:c>
      <x:c r="C11" s="36" t="str">
        <x:v>027-80000011</x:v>
      </x:c>
      <x:c r="D11" s="36" t="str">
        <x:v>710011</x:v>
      </x:c>
      <x:c r="E11" s="36" t="str">
        <x:v>crm_it_011</x:v>
      </x:c>
      <x:c r="F11" s="36" t="str">
        <x:v>crm-it-011@example.test</x:v>
      </x:c>
      <x:c r="G11" s="32" t="str">
        <x:v>湖北省 武汉市 洪山区</x:v>
      </x:c>
      <x:c r="H11" s="32" t="str">
        <x:v>联调路11号</x:v>
      </x:c>
      <x:c r="I11" s="32" t="str">
        <x:v>企业服务</x:v>
      </x:c>
      <x:c r="J11" s="32" t="str">
        <x:v>普通客户</x:v>
      </x:c>
      <x:c r="K11" s="32" t="str">
        <x:v>客户介绍</x:v>
      </x:c>
      <x:c r="L11" s="33" t="str">
        <x:v>[CRM-IT-20260714-01] CUS-011；零金额边界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1" hidden="0" customWidth="1"/>
    <x:col min="3" max="3" width="17" hidden="0" customWidth="1"/>
    <x:col min="4" max="4" width="15" hidden="0" customWidth="1"/>
    <x:col min="5" max="5" width="17" hidden="0" customWidth="1"/>
    <x:col min="6" max="6" width="18" hidden="0" customWidth="1"/>
    <x:col min="7" max="7" width="14" hidden="0" customWidth="1"/>
    <x:col min="8" max="8" width="28" hidden="0" customWidth="1"/>
    <x:col min="9" max="9" width="17" hidden="0" customWidth="1"/>
    <x:col min="10" max="10" width="15" hidden="0" customWidth="1"/>
    <x:col min="11" max="11" width="20" hidden="0" customWidth="1"/>
    <x:col min="12" max="12" width="22" hidden="0" customWidth="1"/>
    <x:col min="13" max="13" width="14" hidden="0" customWidth="1"/>
    <x:col min="14" max="14" width="15" hidden="0" customWidth="1"/>
    <x:col min="15" max="15" width="12" hidden="0" customWidth="1"/>
    <x:col min="16" max="16" width="24" hidden="0" customWidth="1"/>
    <x:col min="17" max="17" width="20" hidden="0" customWidth="1"/>
    <x:col min="18" max="18" width="34" hidden="0" customWidth="1"/>
  </x:cols>
  <x:sheetData>
    <x:row r="1" ht="15" hidden="0" customHeight="1">
      <x:c r="A1" s="6" t="str">
        <x:v>seq</x:v>
      </x:c>
      <x:c r="B1" s="6" t="str">
        <x:v>record_type</x:v>
      </x:c>
      <x:c r="C1" s="6" t="str">
        <x:v>logical_id</x:v>
      </x:c>
      <x:c r="D1" s="6" t="str">
        <x:v>tenant_ref</x:v>
      </x:c>
      <x:c r="E1" s="6" t="str">
        <x:v>parent_ref</x:v>
      </x:c>
      <x:c r="F1" s="6" t="str">
        <x:v>secondary_ref</x:v>
      </x:c>
      <x:c r="G1" s="6" t="str">
        <x:v>owner_ref</x:v>
      </x:c>
      <x:c r="H1" s="6" t="str">
        <x:v>name</x:v>
      </x:c>
      <x:c r="I1" s="6" t="str">
        <x:v>code</x:v>
      </x:c>
      <x:c r="J1" s="6" t="str">
        <x:v>status</x:v>
      </x:c>
      <x:c r="K1" s="6" t="str">
        <x:v>stage_or_action</x:v>
      </x:c>
      <x:c r="L1" s="6" t="str">
        <x:v>event_time</x:v>
      </x:c>
      <x:c r="M1" s="6" t="str">
        <x:v>stat_month</x:v>
      </x:c>
      <x:c r="N1" s="6" t="str">
        <x:v>amount</x:v>
      </x:c>
      <x:c r="O1" s="6" t="str">
        <x:v>quantity</x:v>
      </x:c>
      <x:c r="P1" s="6" t="str">
        <x:v>batch_id</x:v>
      </x:c>
      <x:c r="Q1" s="6" t="str">
        <x:v>load_mode</x:v>
      </x:c>
      <x:c r="R1" s="6" t="str">
        <x:v>expected_result</x:v>
      </x:c>
    </x:row>
    <x:row r="2" ht="15" hidden="0" customHeight="1">
      <x:c r="A2" s="43" t="n">
        <x:v>1</x:v>
      </x:c>
      <x:c r="B2" s="26" t="str">
        <x:v>TENANT</x:v>
      </x:c>
      <x:c r="C2" s="26" t="str">
        <x:v>TENANT-A</x:v>
      </x:c>
      <x:c r="D2" s="26" t="str">
        <x:v>TENANT-A</x:v>
      </x:c>
      <x:c r="E2" s="26" t="str"/>
      <x:c r="F2" s="26" t="str"/>
      <x:c r="G2" s="26" t="str"/>
      <x:c r="H2" s="26" t="str">
        <x:v>联调主租户</x:v>
      </x:c>
      <x:c r="I2" s="26" t="str"/>
      <x:c r="J2" s="26" t="str">
        <x:v>有效</x:v>
      </x:c>
      <x:c r="K2" s="26" t="str">
        <x:v>准备</x:v>
      </x:c>
      <x:c r="L2" s="37" t="str"/>
      <x:c r="M2" s="26" t="str"/>
      <x:c r="N2" s="40" t="str"/>
      <x:c r="O2" s="26" t="str"/>
      <x:c r="P2" s="26" t="str">
        <x:v>CRM-IT-20260714-01</x:v>
      </x:c>
      <x:c r="Q2" s="26" t="str">
        <x:v>ENV_PRECONDITION</x:v>
      </x:c>
      <x:c r="R2" s="27" t="str">
        <x:v>主链数据均属于该租户</x:v>
      </x:c>
    </x:row>
    <x:row r="3" ht="15" hidden="0" customHeight="1">
      <x:c r="A3" s="44" t="n">
        <x:v>2</x:v>
      </x:c>
      <x:c r="B3" s="29" t="str">
        <x:v>TENANT</x:v>
      </x:c>
      <x:c r="C3" s="29" t="str">
        <x:v>TENANT-B</x:v>
      </x:c>
      <x:c r="D3" s="29" t="str">
        <x:v>TENANT-B</x:v>
      </x:c>
      <x:c r="E3" s="29" t="str"/>
      <x:c r="F3" s="29" t="str"/>
      <x:c r="G3" s="29" t="str"/>
      <x:c r="H3" s="29" t="str">
        <x:v>隔离租户</x:v>
      </x:c>
      <x:c r="I3" s="29" t="str"/>
      <x:c r="J3" s="29" t="str">
        <x:v>有效</x:v>
      </x:c>
      <x:c r="K3" s="29" t="str">
        <x:v>准备</x:v>
      </x:c>
      <x:c r="L3" s="38" t="str"/>
      <x:c r="M3" s="29" t="str"/>
      <x:c r="N3" s="41" t="str"/>
      <x:c r="O3" s="29" t="str"/>
      <x:c r="P3" s="29" t="str">
        <x:v>CRM-IT-20260714-01</x:v>
      </x:c>
      <x:c r="Q3" s="29" t="str">
        <x:v>ENV_PRECONDITION</x:v>
      </x:c>
      <x:c r="R3" s="30" t="str">
        <x:v>TENANT-A 用户不可见</x:v>
      </x:c>
    </x:row>
    <x:row r="4" ht="15" hidden="0" customHeight="1">
      <x:c r="A4" s="44" t="n">
        <x:v>3</x:v>
      </x:c>
      <x:c r="B4" s="29" t="str">
        <x:v>DEPT</x:v>
      </x:c>
      <x:c r="C4" s="29" t="str">
        <x:v>D-A-SALES</x:v>
      </x:c>
      <x:c r="D4" s="29" t="str">
        <x:v>TENANT-A</x:v>
      </x:c>
      <x:c r="E4" s="29" t="str"/>
      <x:c r="F4" s="29" t="str"/>
      <x:c r="G4" s="29" t="str"/>
      <x:c r="H4" s="29" t="str">
        <x:v>销售中心</x:v>
      </x:c>
      <x:c r="I4" s="29" t="str"/>
      <x:c r="J4" s="29" t="str">
        <x:v>有效</x:v>
      </x:c>
      <x:c r="K4" s="29" t="str">
        <x:v>准备</x:v>
      </x:c>
      <x:c r="L4" s="38" t="str"/>
      <x:c r="M4" s="29" t="str"/>
      <x:c r="N4" s="41" t="str"/>
      <x:c r="O4" s="29" t="str"/>
      <x:c r="P4" s="29" t="str">
        <x:v>CRM-IT-20260714-01</x:v>
      </x:c>
      <x:c r="Q4" s="29" t="str">
        <x:v>ENV_PRECONDITION</x:v>
      </x:c>
      <x:c r="R4" s="30" t="str">
        <x:v>包含两个子部门</x:v>
      </x:c>
    </x:row>
    <x:row r="5" ht="15" hidden="0" customHeight="1">
      <x:c r="A5" s="44" t="n">
        <x:v>4</x:v>
      </x:c>
      <x:c r="B5" s="29" t="str">
        <x:v>DEPT</x:v>
      </x:c>
      <x:c r="C5" s="29" t="str">
        <x:v>D-A-SALES1</x:v>
      </x:c>
      <x:c r="D5" s="29" t="str">
        <x:v>TENANT-A</x:v>
      </x:c>
      <x:c r="E5" s="29" t="str">
        <x:v>D-A-SALES</x:v>
      </x:c>
      <x:c r="F5" s="29" t="str"/>
      <x:c r="G5" s="29" t="str"/>
      <x:c r="H5" s="29" t="str">
        <x:v>销售一部</x:v>
      </x:c>
      <x:c r="I5" s="29" t="str"/>
      <x:c r="J5" s="29" t="str">
        <x:v>有效</x:v>
      </x:c>
      <x:c r="K5" s="29" t="str">
        <x:v>准备</x:v>
      </x:c>
      <x:c r="L5" s="38" t="str"/>
      <x:c r="M5" s="29" t="str"/>
      <x:c r="N5" s="41" t="str"/>
      <x:c r="O5" s="29" t="str"/>
      <x:c r="P5" s="29" t="str">
        <x:v>CRM-IT-20260714-01</x:v>
      </x:c>
      <x:c r="Q5" s="29" t="str">
        <x:v>ENV_PRECONDITION</x:v>
      </x:c>
      <x:c r="R5" s="30" t="str">
        <x:v>用户1001所属部门</x:v>
      </x:c>
    </x:row>
    <x:row r="6" ht="15" hidden="0" customHeight="1">
      <x:c r="A6" s="44" t="n">
        <x:v>5</x:v>
      </x:c>
      <x:c r="B6" s="29" t="str">
        <x:v>DEPT</x:v>
      </x:c>
      <x:c r="C6" s="29" t="str">
        <x:v>D-A-SALES2</x:v>
      </x:c>
      <x:c r="D6" s="29" t="str">
        <x:v>TENANT-A</x:v>
      </x:c>
      <x:c r="E6" s="29" t="str">
        <x:v>D-A-SALES</x:v>
      </x:c>
      <x:c r="F6" s="29" t="str"/>
      <x:c r="G6" s="29" t="str"/>
      <x:c r="H6" s="29" t="str">
        <x:v>销售二部</x:v>
      </x:c>
      <x:c r="I6" s="29" t="str"/>
      <x:c r="J6" s="29" t="str">
        <x:v>有效</x:v>
      </x:c>
      <x:c r="K6" s="29" t="str">
        <x:v>准备</x:v>
      </x:c>
      <x:c r="L6" s="38" t="str"/>
      <x:c r="M6" s="29" t="str"/>
      <x:c r="N6" s="41" t="str"/>
      <x:c r="O6" s="29" t="str"/>
      <x:c r="P6" s="29" t="str">
        <x:v>CRM-IT-20260714-01</x:v>
      </x:c>
      <x:c r="Q6" s="29" t="str">
        <x:v>ENV_PRECONDITION</x:v>
      </x:c>
      <x:c r="R6" s="30" t="str">
        <x:v>用户1002所属部门</x:v>
      </x:c>
    </x:row>
    <x:row r="7" ht="15" hidden="0" customHeight="1">
      <x:c r="A7" s="44" t="n">
        <x:v>6</x:v>
      </x:c>
      <x:c r="B7" s="29" t="str">
        <x:v>USER</x:v>
      </x:c>
      <x:c r="C7" s="29" t="str">
        <x:v>U-ADMIN</x:v>
      </x:c>
      <x:c r="D7" s="29" t="str">
        <x:v>TENANT-A</x:v>
      </x:c>
      <x:c r="E7" s="29" t="str">
        <x:v>D-A-SALES</x:v>
      </x:c>
      <x:c r="F7" s="29" t="str"/>
      <x:c r="G7" s="29" t="str">
        <x:v>1000</x:v>
      </x:c>
      <x:c r="H7" s="29" t="str">
        <x:v>联调管理员</x:v>
      </x:c>
      <x:c r="I7" s="29" t="str">
        <x:v>1000</x:v>
      </x:c>
      <x:c r="J7" s="29" t="str">
        <x:v>有效</x:v>
      </x:c>
      <x:c r="K7" s="29" t="str">
        <x:v>管理员</x:v>
      </x:c>
      <x:c r="L7" s="38" t="str"/>
      <x:c r="M7" s="29" t="str"/>
      <x:c r="N7" s="41" t="str"/>
      <x:c r="O7" s="29" t="str"/>
      <x:c r="P7" s="29" t="str">
        <x:v>CRM-IT-20260714-01</x:v>
      </x:c>
      <x:c r="Q7" s="29" t="str">
        <x:v>ENV_PRECONDITION</x:v>
      </x:c>
      <x:c r="R7" s="30" t="str">
        <x:v>账号及权限需预置</x:v>
      </x:c>
    </x:row>
    <x:row r="8" ht="15" hidden="0" customHeight="1">
      <x:c r="A8" s="44" t="n">
        <x:v>7</x:v>
      </x:c>
      <x:c r="B8" s="29" t="str">
        <x:v>USER</x:v>
      </x:c>
      <x:c r="C8" s="29" t="str">
        <x:v>U-SALES1</x:v>
      </x:c>
      <x:c r="D8" s="29" t="str">
        <x:v>TENANT-A</x:v>
      </x:c>
      <x:c r="E8" s="29" t="str">
        <x:v>D-A-SALES</x:v>
      </x:c>
      <x:c r="F8" s="29" t="str"/>
      <x:c r="G8" s="29" t="str">
        <x:v>1001</x:v>
      </x:c>
      <x:c r="H8" s="29" t="str">
        <x:v>销售甲</x:v>
      </x:c>
      <x:c r="I8" s="29" t="str">
        <x:v>1001</x:v>
      </x:c>
      <x:c r="J8" s="29" t="str">
        <x:v>有效</x:v>
      </x:c>
      <x:c r="K8" s="29" t="str">
        <x:v>销售</x:v>
      </x:c>
      <x:c r="L8" s="38" t="str"/>
      <x:c r="M8" s="29" t="str"/>
      <x:c r="N8" s="41" t="str"/>
      <x:c r="O8" s="29" t="str"/>
      <x:c r="P8" s="29" t="str">
        <x:v>CRM-IT-20260714-01</x:v>
      </x:c>
      <x:c r="Q8" s="29" t="str">
        <x:v>ENV_PRECONDITION</x:v>
      </x:c>
      <x:c r="R8" s="30" t="str">
        <x:v>账号及权限需预置</x:v>
      </x:c>
    </x:row>
    <x:row r="9" ht="15" hidden="0" customHeight="1">
      <x:c r="A9" s="44" t="n">
        <x:v>8</x:v>
      </x:c>
      <x:c r="B9" s="29" t="str">
        <x:v>USER</x:v>
      </x:c>
      <x:c r="C9" s="29" t="str">
        <x:v>U-SALES2</x:v>
      </x:c>
      <x:c r="D9" s="29" t="str">
        <x:v>TENANT-A</x:v>
      </x:c>
      <x:c r="E9" s="29" t="str">
        <x:v>D-A-SALES</x:v>
      </x:c>
      <x:c r="F9" s="29" t="str"/>
      <x:c r="G9" s="29" t="str">
        <x:v>1002</x:v>
      </x:c>
      <x:c r="H9" s="29" t="str">
        <x:v>销售乙</x:v>
      </x:c>
      <x:c r="I9" s="29" t="str">
        <x:v>1002</x:v>
      </x:c>
      <x:c r="J9" s="29" t="str">
        <x:v>有效</x:v>
      </x:c>
      <x:c r="K9" s="29" t="str">
        <x:v>销售</x:v>
      </x:c>
      <x:c r="L9" s="38" t="str"/>
      <x:c r="M9" s="29" t="str"/>
      <x:c r="N9" s="41" t="str"/>
      <x:c r="O9" s="29" t="str"/>
      <x:c r="P9" s="29" t="str">
        <x:v>CRM-IT-20260714-01</x:v>
      </x:c>
      <x:c r="Q9" s="29" t="str">
        <x:v>ENV_PRECONDITION</x:v>
      </x:c>
      <x:c r="R9" s="30" t="str">
        <x:v>账号及权限需预置</x:v>
      </x:c>
    </x:row>
    <x:row r="10" ht="15" hidden="0" customHeight="1">
      <x:c r="A10" s="44" t="n">
        <x:v>9</x:v>
      </x:c>
      <x:c r="B10" s="29" t="str">
        <x:v>USER</x:v>
      </x:c>
      <x:c r="C10" s="29" t="str">
        <x:v>U-APPROVER</x:v>
      </x:c>
      <x:c r="D10" s="29" t="str">
        <x:v>TENANT-A</x:v>
      </x:c>
      <x:c r="E10" s="29" t="str">
        <x:v>D-A-SALES</x:v>
      </x:c>
      <x:c r="F10" s="29" t="str"/>
      <x:c r="G10" s="29" t="str">
        <x:v>1003</x:v>
      </x:c>
      <x:c r="H10" s="29" t="str">
        <x:v>审批人</x:v>
      </x:c>
      <x:c r="I10" s="29" t="str">
        <x:v>1003</x:v>
      </x:c>
      <x:c r="J10" s="29" t="str">
        <x:v>有效</x:v>
      </x:c>
      <x:c r="K10" s="29" t="str">
        <x:v>审批</x:v>
      </x:c>
      <x:c r="L10" s="38" t="str"/>
      <x:c r="M10" s="29" t="str"/>
      <x:c r="N10" s="41" t="str"/>
      <x:c r="O10" s="29" t="str"/>
      <x:c r="P10" s="29" t="str">
        <x:v>CRM-IT-20260714-01</x:v>
      </x:c>
      <x:c r="Q10" s="29" t="str">
        <x:v>ENV_PRECONDITION</x:v>
      </x:c>
      <x:c r="R10" s="30" t="str">
        <x:v>账号及权限需预置</x:v>
      </x:c>
    </x:row>
    <x:row r="11" ht="15" hidden="0" customHeight="1">
      <x:c r="A11" s="44" t="n">
        <x:v>10</x:v>
      </x:c>
      <x:c r="B11" s="29" t="str">
        <x:v>USER</x:v>
      </x:c>
      <x:c r="C11" s="29" t="str">
        <x:v>U-FINANCE</x:v>
      </x:c>
      <x:c r="D11" s="29" t="str">
        <x:v>TENANT-A</x:v>
      </x:c>
      <x:c r="E11" s="29" t="str">
        <x:v>D-A-SALES</x:v>
      </x:c>
      <x:c r="F11" s="29" t="str"/>
      <x:c r="G11" s="29" t="str">
        <x:v>1004</x:v>
      </x:c>
      <x:c r="H11" s="29" t="str">
        <x:v>财务员</x:v>
      </x:c>
      <x:c r="I11" s="29" t="str">
        <x:v>1004</x:v>
      </x:c>
      <x:c r="J11" s="29" t="str">
        <x:v>有效</x:v>
      </x:c>
      <x:c r="K11" s="29" t="str">
        <x:v>财务</x:v>
      </x:c>
      <x:c r="L11" s="38" t="str"/>
      <x:c r="M11" s="29" t="str"/>
      <x:c r="N11" s="41" t="str"/>
      <x:c r="O11" s="29" t="str"/>
      <x:c r="P11" s="29" t="str">
        <x:v>CRM-IT-20260714-01</x:v>
      </x:c>
      <x:c r="Q11" s="29" t="str">
        <x:v>ENV_PRECONDITION</x:v>
      </x:c>
      <x:c r="R11" s="30" t="str">
        <x:v>账号及权限需预置</x:v>
      </x:c>
    </x:row>
    <x:row r="12" ht="15" hidden="0" customHeight="1">
      <x:c r="A12" s="44" t="n">
        <x:v>11</x:v>
      </x:c>
      <x:c r="B12" s="29" t="str">
        <x:v>USER</x:v>
      </x:c>
      <x:c r="C12" s="29" t="str">
        <x:v>U-NONE</x:v>
      </x:c>
      <x:c r="D12" s="29" t="str">
        <x:v>TENANT-A</x:v>
      </x:c>
      <x:c r="E12" s="29" t="str">
        <x:v>D-A-SALES</x:v>
      </x:c>
      <x:c r="F12" s="29" t="str"/>
      <x:c r="G12" s="29" t="str">
        <x:v>1005</x:v>
      </x:c>
      <x:c r="H12" s="29" t="str">
        <x:v>无权限用户</x:v>
      </x:c>
      <x:c r="I12" s="29" t="str">
        <x:v>1005</x:v>
      </x:c>
      <x:c r="J12" s="29" t="str">
        <x:v>有效</x:v>
      </x:c>
      <x:c r="K12" s="29" t="str">
        <x:v>普通用户</x:v>
      </x:c>
      <x:c r="L12" s="38" t="str"/>
      <x:c r="M12" s="29" t="str"/>
      <x:c r="N12" s="41" t="str"/>
      <x:c r="O12" s="29" t="str"/>
      <x:c r="P12" s="29" t="str">
        <x:v>CRM-IT-20260714-01</x:v>
      </x:c>
      <x:c r="Q12" s="29" t="str">
        <x:v>ENV_PRECONDITION</x:v>
      </x:c>
      <x:c r="R12" s="30" t="str">
        <x:v>账号及权限需预置</x:v>
      </x:c>
    </x:row>
    <x:row r="13" ht="15" hidden="0" customHeight="1">
      <x:c r="A13" s="44" t="n">
        <x:v>12</x:v>
      </x:c>
      <x:c r="B13" s="29" t="str">
        <x:v>USER</x:v>
      </x:c>
      <x:c r="C13" s="29" t="str">
        <x:v>U-TENANT-B</x:v>
      </x:c>
      <x:c r="D13" s="29" t="str">
        <x:v>TENANT-B</x:v>
      </x:c>
      <x:c r="E13" s="29" t="str"/>
      <x:c r="F13" s="29" t="str"/>
      <x:c r="G13" s="29" t="str">
        <x:v>2001</x:v>
      </x:c>
      <x:c r="H13" s="29" t="str">
        <x:v>隔离租户销售</x:v>
      </x:c>
      <x:c r="I13" s="29" t="str">
        <x:v>2001</x:v>
      </x:c>
      <x:c r="J13" s="29" t="str">
        <x:v>有效</x:v>
      </x:c>
      <x:c r="K13" s="29" t="str">
        <x:v>销售</x:v>
      </x:c>
      <x:c r="L13" s="38" t="str"/>
      <x:c r="M13" s="29" t="str"/>
      <x:c r="N13" s="41" t="str"/>
      <x:c r="O13" s="29" t="str"/>
      <x:c r="P13" s="29" t="str">
        <x:v>CRM-IT-20260714-01</x:v>
      </x:c>
      <x:c r="Q13" s="29" t="str">
        <x:v>ENV_PRECONDITION</x:v>
      </x:c>
      <x:c r="R13" s="30" t="str">
        <x:v>TENANT-A 用户不可见</x:v>
      </x:c>
    </x:row>
    <x:row r="14" ht="15" hidden="0" customHeight="1">
      <x:c r="A14" s="44" t="n">
        <x:v>13</x:v>
      </x:c>
      <x:c r="B14" s="29" t="str">
        <x:v>CONFIG</x:v>
      </x:c>
      <x:c r="C14" s="29" t="str">
        <x:v>CFG-001</x:v>
      </x:c>
      <x:c r="D14" s="29" t="str">
        <x:v>TENANT-A</x:v>
      </x:c>
      <x:c r="E14" s="29" t="str"/>
      <x:c r="F14" s="29" t="str"/>
      <x:c r="G14" s="29" t="str"/>
      <x:c r="H14" s="29" t="str">
        <x:v>搜索引擎</x:v>
      </x:c>
      <x:c r="I14" s="29" t="str">
        <x:v>SEARCH</x:v>
      </x:c>
      <x:c r="J14" s="29" t="str">
        <x:v>有效</x:v>
      </x:c>
      <x:c r="K14" s="29" t="str">
        <x:v>客户来源</x:v>
      </x:c>
      <x:c r="L14" s="38" t="str"/>
      <x:c r="M14" s="29" t="str"/>
      <x:c r="N14" s="41" t="str"/>
      <x:c r="O14" s="29" t="str"/>
      <x:c r="P14" s="29" t="str">
        <x:v>CRM-IT-20260714-01</x:v>
      </x:c>
      <x:c r="Q14" s="29" t="str">
        <x:v>ENV_PRECONDITION</x:v>
      </x:c>
      <x:c r="R14" s="30" t="str">
        <x:v>字典显示值可用</x:v>
      </x:c>
    </x:row>
    <x:row r="15" ht="15" hidden="0" customHeight="1">
      <x:c r="A15" s="44" t="n">
        <x:v>14</x:v>
      </x:c>
      <x:c r="B15" s="29" t="str">
        <x:v>CONFIG</x:v>
      </x:c>
      <x:c r="C15" s="29" t="str">
        <x:v>CFG-002</x:v>
      </x:c>
      <x:c r="D15" s="29" t="str">
        <x:v>TENANT-A</x:v>
      </x:c>
      <x:c r="E15" s="29" t="str"/>
      <x:c r="F15" s="29" t="str"/>
      <x:c r="G15" s="29" t="str"/>
      <x:c r="H15" s="29" t="str">
        <x:v>重点客户</x:v>
      </x:c>
      <x:c r="I15" s="29" t="str">
        <x:v>KEY</x:v>
      </x:c>
      <x:c r="J15" s="29" t="str">
        <x:v>有效</x:v>
      </x:c>
      <x:c r="K15" s="29" t="str">
        <x:v>客户等级</x:v>
      </x:c>
      <x:c r="L15" s="38" t="str"/>
      <x:c r="M15" s="29" t="str"/>
      <x:c r="N15" s="41" t="str"/>
      <x:c r="O15" s="29" t="str"/>
      <x:c r="P15" s="29" t="str">
        <x:v>CRM-IT-20260714-01</x:v>
      </x:c>
      <x:c r="Q15" s="29" t="str">
        <x:v>ENV_PRECONDITION</x:v>
      </x:c>
      <x:c r="R15" s="30" t="str">
        <x:v>字典显示值可用</x:v>
      </x:c>
    </x:row>
    <x:row r="16" ht="15" hidden="0" customHeight="1">
      <x:c r="A16" s="44" t="n">
        <x:v>15</x:v>
      </x:c>
      <x:c r="B16" s="29" t="str">
        <x:v>CONFIG</x:v>
      </x:c>
      <x:c r="C16" s="29" t="str">
        <x:v>CFG-003</x:v>
      </x:c>
      <x:c r="D16" s="29" t="str">
        <x:v>TENANT-A</x:v>
      </x:c>
      <x:c r="E16" s="29" t="str"/>
      <x:c r="F16" s="29" t="str"/>
      <x:c r="G16" s="29" t="str"/>
      <x:c r="H16" s="29" t="str">
        <x:v>互联网</x:v>
      </x:c>
      <x:c r="I16" s="29" t="str">
        <x:v>INTERNET</x:v>
      </x:c>
      <x:c r="J16" s="29" t="str">
        <x:v>有效</x:v>
      </x:c>
      <x:c r="K16" s="29" t="str">
        <x:v>所属行业</x:v>
      </x:c>
      <x:c r="L16" s="38" t="str"/>
      <x:c r="M16" s="29" t="str"/>
      <x:c r="N16" s="41" t="str"/>
      <x:c r="O16" s="29" t="str"/>
      <x:c r="P16" s="29" t="str">
        <x:v>CRM-IT-20260714-01</x:v>
      </x:c>
      <x:c r="Q16" s="29" t="str">
        <x:v>ENV_PRECONDITION</x:v>
      </x:c>
      <x:c r="R16" s="30" t="str">
        <x:v>字典显示值可用</x:v>
      </x:c>
    </x:row>
    <x:row r="17" ht="15" hidden="0" customHeight="1">
      <x:c r="A17" s="44" t="n">
        <x:v>16</x:v>
      </x:c>
      <x:c r="B17" s="29" t="str">
        <x:v>CONFIG</x:v>
      </x:c>
      <x:c r="C17" s="29" t="str">
        <x:v>CFG-004</x:v>
      </x:c>
      <x:c r="D17" s="29" t="str">
        <x:v>TENANT-A</x:v>
      </x:c>
      <x:c r="E17" s="29" t="str"/>
      <x:c r="F17" s="29" t="str"/>
      <x:c r="G17" s="29" t="str"/>
      <x:c r="H17" s="29" t="str">
        <x:v>初步接洽</x:v>
      </x:c>
      <x:c r="I17" s="29" t="str">
        <x:v>CONTACT</x:v>
      </x:c>
      <x:c r="J17" s="29" t="str">
        <x:v>有效</x:v>
      </x:c>
      <x:c r="K17" s="29" t="str">
        <x:v>商机阶段</x:v>
      </x:c>
      <x:c r="L17" s="38" t="str"/>
      <x:c r="M17" s="29" t="str"/>
      <x:c r="N17" s="41" t="str"/>
      <x:c r="O17" s="29" t="str"/>
      <x:c r="P17" s="29" t="str">
        <x:v>CRM-IT-20260714-01</x:v>
      </x:c>
      <x:c r="Q17" s="29" t="str">
        <x:v>ENV_PRECONDITION</x:v>
      </x:c>
      <x:c r="R17" s="30" t="str">
        <x:v>字典显示值可用</x:v>
      </x:c>
    </x:row>
    <x:row r="18" ht="15" hidden="0" customHeight="1">
      <x:c r="A18" s="44" t="n">
        <x:v>17</x:v>
      </x:c>
      <x:c r="B18" s="29" t="str">
        <x:v>CONFIG</x:v>
      </x:c>
      <x:c r="C18" s="29" t="str">
        <x:v>CFG-005</x:v>
      </x:c>
      <x:c r="D18" s="29" t="str">
        <x:v>TENANT-A</x:v>
      </x:c>
      <x:c r="E18" s="29" t="str"/>
      <x:c r="F18" s="29" t="str"/>
      <x:c r="G18" s="29" t="str"/>
      <x:c r="H18" s="29" t="str">
        <x:v>方案报价</x:v>
      </x:c>
      <x:c r="I18" s="29" t="str">
        <x:v>QUOTE</x:v>
      </x:c>
      <x:c r="J18" s="29" t="str">
        <x:v>有效</x:v>
      </x:c>
      <x:c r="K18" s="29" t="str">
        <x:v>商机阶段</x:v>
      </x:c>
      <x:c r="L18" s="38" t="str"/>
      <x:c r="M18" s="29" t="str"/>
      <x:c r="N18" s="41" t="str"/>
      <x:c r="O18" s="29" t="str"/>
      <x:c r="P18" s="29" t="str">
        <x:v>CRM-IT-20260714-01</x:v>
      </x:c>
      <x:c r="Q18" s="29" t="str">
        <x:v>ENV_PRECONDITION</x:v>
      </x:c>
      <x:c r="R18" s="30" t="str">
        <x:v>字典显示值可用</x:v>
      </x:c>
    </x:row>
    <x:row r="19" ht="15" hidden="0" customHeight="1">
      <x:c r="A19" s="44" t="n">
        <x:v>18</x:v>
      </x:c>
      <x:c r="B19" s="29" t="str">
        <x:v>CONFIG</x:v>
      </x:c>
      <x:c r="C19" s="29" t="str">
        <x:v>CFG-006</x:v>
      </x:c>
      <x:c r="D19" s="29" t="str">
        <x:v>TENANT-A</x:v>
      </x:c>
      <x:c r="E19" s="29" t="str"/>
      <x:c r="F19" s="29" t="str"/>
      <x:c r="G19" s="29" t="str"/>
      <x:c r="H19" s="29" t="str">
        <x:v>合同谈判</x:v>
      </x:c>
      <x:c r="I19" s="29" t="str">
        <x:v>CONTRACT</x:v>
      </x:c>
      <x:c r="J19" s="29" t="str">
        <x:v>有效</x:v>
      </x:c>
      <x:c r="K19" s="29" t="str">
        <x:v>商机阶段</x:v>
      </x:c>
      <x:c r="L19" s="38" t="str"/>
      <x:c r="M19" s="29" t="str"/>
      <x:c r="N19" s="41" t="str"/>
      <x:c r="O19" s="29" t="str"/>
      <x:c r="P19" s="29" t="str">
        <x:v>CRM-IT-20260714-01</x:v>
      </x:c>
      <x:c r="Q19" s="29" t="str">
        <x:v>ENV_PRECONDITION</x:v>
      </x:c>
      <x:c r="R19" s="30" t="str">
        <x:v>字典显示值可用</x:v>
      </x:c>
    </x:row>
    <x:row r="20" ht="15" hidden="0" customHeight="1">
      <x:c r="A20" s="44" t="n">
        <x:v>19</x:v>
      </x:c>
      <x:c r="B20" s="29" t="str">
        <x:v>CONFIG</x:v>
      </x:c>
      <x:c r="C20" s="29" t="str">
        <x:v>CFG-007</x:v>
      </x:c>
      <x:c r="D20" s="29" t="str">
        <x:v>TENANT-A</x:v>
      </x:c>
      <x:c r="E20" s="29" t="str"/>
      <x:c r="F20" s="29" t="str"/>
      <x:c r="G20" s="29" t="str"/>
      <x:c r="H20" s="29" t="str">
        <x:v>价格原因</x:v>
      </x:c>
      <x:c r="I20" s="29" t="str">
        <x:v>PRICE</x:v>
      </x:c>
      <x:c r="J20" s="29" t="str">
        <x:v>有效</x:v>
      </x:c>
      <x:c r="K20" s="29" t="str">
        <x:v>输单原因</x:v>
      </x:c>
      <x:c r="L20" s="38" t="str"/>
      <x:c r="M20" s="29" t="str"/>
      <x:c r="N20" s="41" t="str"/>
      <x:c r="O20" s="29" t="str"/>
      <x:c r="P20" s="29" t="str">
        <x:v>CRM-IT-20260714-01</x:v>
      </x:c>
      <x:c r="Q20" s="29" t="str">
        <x:v>ENV_PRECONDITION</x:v>
      </x:c>
      <x:c r="R20" s="30" t="str">
        <x:v>字典显示值可用</x:v>
      </x:c>
    </x:row>
    <x:row r="21" ht="15" hidden="0" customHeight="1">
      <x:c r="A21" s="44" t="n">
        <x:v>20</x:v>
      </x:c>
      <x:c r="B21" s="29" t="str">
        <x:v>CONFIG</x:v>
      </x:c>
      <x:c r="C21" s="29" t="str">
        <x:v>CFG-008</x:v>
      </x:c>
      <x:c r="D21" s="29" t="str">
        <x:v>TENANT-A</x:v>
      </x:c>
      <x:c r="E21" s="29" t="str"/>
      <x:c r="F21" s="29" t="str"/>
      <x:c r="G21" s="29" t="str"/>
      <x:c r="H21" s="29" t="str">
        <x:v>审批通过</x:v>
      </x:c>
      <x:c r="I21" s="29" t="str">
        <x:v>APPROVED</x:v>
      </x:c>
      <x:c r="J21" s="29" t="str">
        <x:v>有效</x:v>
      </x:c>
      <x:c r="K21" s="29" t="str">
        <x:v>审批状态</x:v>
      </x:c>
      <x:c r="L21" s="38" t="str"/>
      <x:c r="M21" s="29" t="str"/>
      <x:c r="N21" s="41" t="str"/>
      <x:c r="O21" s="29" t="str"/>
      <x:c r="P21" s="29" t="str">
        <x:v>CRM-IT-20260714-01</x:v>
      </x:c>
      <x:c r="Q21" s="29" t="str">
        <x:v>ENV_PRECONDITION</x:v>
      </x:c>
      <x:c r="R21" s="30" t="str">
        <x:v>字典显示值可用</x:v>
      </x:c>
    </x:row>
    <x:row r="22" ht="15" hidden="0" customHeight="1">
      <x:c r="A22" s="44" t="n">
        <x:v>21</x:v>
      </x:c>
      <x:c r="B22" s="29" t="str">
        <x:v>CONFIG</x:v>
      </x:c>
      <x:c r="C22" s="29" t="str">
        <x:v>CFG-009</x:v>
      </x:c>
      <x:c r="D22" s="29" t="str">
        <x:v>TENANT-A</x:v>
      </x:c>
      <x:c r="E22" s="29" t="str"/>
      <x:c r="F22" s="29" t="str"/>
      <x:c r="G22" s="29" t="str"/>
      <x:c r="H22" s="29" t="str">
        <x:v>银行转账</x:v>
      </x:c>
      <x:c r="I22" s="29" t="str">
        <x:v>BANK</x:v>
      </x:c>
      <x:c r="J22" s="29" t="str">
        <x:v>有效</x:v>
      </x:c>
      <x:c r="K22" s="29" t="str">
        <x:v>回款方式</x:v>
      </x:c>
      <x:c r="L22" s="38" t="str"/>
      <x:c r="M22" s="29" t="str"/>
      <x:c r="N22" s="41" t="str"/>
      <x:c r="O22" s="29" t="str"/>
      <x:c r="P22" s="29" t="str">
        <x:v>CRM-IT-20260714-01</x:v>
      </x:c>
      <x:c r="Q22" s="29" t="str">
        <x:v>ENV_PRECONDITION</x:v>
      </x:c>
      <x:c r="R22" s="30" t="str">
        <x:v>字典显示值可用</x:v>
      </x:c>
    </x:row>
    <x:row r="23" ht="15" hidden="0" customHeight="1">
      <x:c r="A23" s="44" t="n">
        <x:v>22</x:v>
      </x:c>
      <x:c r="B23" s="29" t="str">
        <x:v>CONFIG</x:v>
      </x:c>
      <x:c r="C23" s="29" t="str">
        <x:v>CFG-010</x:v>
      </x:c>
      <x:c r="D23" s="29" t="str">
        <x:v>TENANT-A</x:v>
      </x:c>
      <x:c r="E23" s="29" t="str"/>
      <x:c r="F23" s="29" t="str"/>
      <x:c r="G23" s="29" t="str"/>
      <x:c r="H23" s="29" t="str">
        <x:v>电话</x:v>
      </x:c>
      <x:c r="I23" s="29" t="str">
        <x:v>PHONE</x:v>
      </x:c>
      <x:c r="J23" s="29" t="str">
        <x:v>有效</x:v>
      </x:c>
      <x:c r="K23" s="29" t="str">
        <x:v>跟进方式</x:v>
      </x:c>
      <x:c r="L23" s="38" t="str"/>
      <x:c r="M23" s="29" t="str"/>
      <x:c r="N23" s="41" t="str"/>
      <x:c r="O23" s="29" t="str"/>
      <x:c r="P23" s="29" t="str">
        <x:v>CRM-IT-20260714-01</x:v>
      </x:c>
      <x:c r="Q23" s="29" t="str">
        <x:v>ENV_PRECONDITION</x:v>
      </x:c>
      <x:c r="R23" s="30" t="str">
        <x:v>字典显示值可用</x:v>
      </x:c>
    </x:row>
    <x:row r="24" ht="15" hidden="0" customHeight="1">
      <x:c r="A24" s="44" t="n">
        <x:v>23</x:v>
      </x:c>
      <x:c r="B24" s="29" t="str">
        <x:v>CLUE</x:v>
      </x:c>
      <x:c r="C24" s="29" t="str">
        <x:v>CLUE-001</x:v>
      </x:c>
      <x:c r="D24" s="29" t="str">
        <x:v>TENANT-A</x:v>
      </x:c>
      <x:c r="E24" s="29" t="str"/>
      <x:c r="F24" s="29" t="str">
        <x:v>CUS-001</x:v>
      </x:c>
      <x:c r="G24" s="29" t="str">
        <x:v>1001</x:v>
      </x:c>
      <x:c r="H24" s="29" t="str">
        <x:v>[联调0714]星河线索</x:v>
      </x:c>
      <x:c r="I24" s="29" t="str">
        <x:v>SEARCH</x:v>
      </x:c>
      <x:c r="J24" s="29" t="str">
        <x:v>已转化</x:v>
      </x:c>
      <x:c r="K24" s="29" t="str">
        <x:v>线索</x:v>
      </x:c>
      <x:c r="L24" s="38" t="n">
        <x:v>46024.041666666664</x:v>
      </x:c>
      <x:c r="M24" s="29" t="str">
        <x:v>2026-01</x:v>
      </x:c>
      <x:c r="N24" s="41" t="str"/>
      <x:c r="O24" s="29" t="str"/>
      <x:c r="P24" s="29" t="str">
        <x:v>CRM-IT-20260714-01</x:v>
      </x:c>
      <x:c r="Q24" s="29" t="str">
        <x:v>API</x:v>
      </x:c>
      <x:c r="R24" s="30" t="str">
        <x:v>按状态创建/转化</x:v>
      </x:c>
    </x:row>
    <x:row r="25" ht="15" hidden="0" customHeight="1">
      <x:c r="A25" s="44" t="n">
        <x:v>24</x:v>
      </x:c>
      <x:c r="B25" s="29" t="str">
        <x:v>CLUE</x:v>
      </x:c>
      <x:c r="C25" s="29" t="str">
        <x:v>CLUE-002</x:v>
      </x:c>
      <x:c r="D25" s="29" t="str">
        <x:v>TENANT-A</x:v>
      </x:c>
      <x:c r="E25" s="29" t="str"/>
      <x:c r="F25" s="29" t="str">
        <x:v>CUS-002</x:v>
      </x:c>
      <x:c r="G25" s="29" t="str">
        <x:v>1001</x:v>
      </x:c>
      <x:c r="H25" s="29" t="str">
        <x:v>[联调0714]远航线索</x:v>
      </x:c>
      <x:c r="I25" s="29" t="str">
        <x:v>INTRO</x:v>
      </x:c>
      <x:c r="J25" s="29" t="str">
        <x:v>已转化</x:v>
      </x:c>
      <x:c r="K25" s="29" t="str">
        <x:v>线索</x:v>
      </x:c>
      <x:c r="L25" s="38" t="n">
        <x:v>46025.041666666664</x:v>
      </x:c>
      <x:c r="M25" s="29" t="str">
        <x:v>2026-01</x:v>
      </x:c>
      <x:c r="N25" s="41" t="str"/>
      <x:c r="O25" s="29" t="str"/>
      <x:c r="P25" s="29" t="str">
        <x:v>CRM-IT-20260714-01</x:v>
      </x:c>
      <x:c r="Q25" s="29" t="str">
        <x:v>API</x:v>
      </x:c>
      <x:c r="R25" s="30" t="str">
        <x:v>按状态创建/转化</x:v>
      </x:c>
    </x:row>
    <x:row r="26" ht="15" hidden="0" customHeight="1">
      <x:c r="A26" s="44" t="n">
        <x:v>25</x:v>
      </x:c>
      <x:c r="B26" s="29" t="str">
        <x:v>CLUE</x:v>
      </x:c>
      <x:c r="C26" s="29" t="str">
        <x:v>CLUE-003</x:v>
      </x:c>
      <x:c r="D26" s="29" t="str">
        <x:v>TENANT-A</x:v>
      </x:c>
      <x:c r="E26" s="29" t="str"/>
      <x:c r="F26" s="29" t="str"/>
      <x:c r="G26" s="29" t="str">
        <x:v>1002</x:v>
      </x:c>
      <x:c r="H26" s="29" t="str">
        <x:v>[联调0714]未转化线索</x:v>
      </x:c>
      <x:c r="I26" s="29" t="str">
        <x:v>ONLINE</x:v>
      </x:c>
      <x:c r="J26" s="29" t="str">
        <x:v>未转化</x:v>
      </x:c>
      <x:c r="K26" s="29" t="str">
        <x:v>线索</x:v>
      </x:c>
      <x:c r="L26" s="38" t="n">
        <x:v>46026.041666666664</x:v>
      </x:c>
      <x:c r="M26" s="29" t="str">
        <x:v>2026-01</x:v>
      </x:c>
      <x:c r="N26" s="41" t="str"/>
      <x:c r="O26" s="29" t="str"/>
      <x:c r="P26" s="29" t="str">
        <x:v>CRM-IT-20260714-01</x:v>
      </x:c>
      <x:c r="Q26" s="29" t="str">
        <x:v>API</x:v>
      </x:c>
      <x:c r="R26" s="30" t="str">
        <x:v>按状态创建/转化</x:v>
      </x:c>
    </x:row>
    <x:row r="27" ht="15" hidden="0" customHeight="1">
      <x:c r="A27" s="44" t="n">
        <x:v>26</x:v>
      </x:c>
      <x:c r="B27" s="29" t="str">
        <x:v>CLUE</x:v>
      </x:c>
      <x:c r="C27" s="29" t="str">
        <x:v>CLUE-004</x:v>
      </x:c>
      <x:c r="D27" s="29" t="str">
        <x:v>TENANT-A</x:v>
      </x:c>
      <x:c r="E27" s="29" t="str"/>
      <x:c r="F27" s="29" t="str"/>
      <x:c r="G27" s="29" t="str">
        <x:v>1001</x:v>
      </x:c>
      <x:c r="H27" s="29" t="str">
        <x:v>[联调0714]重复线索</x:v>
      </x:c>
      <x:c r="I27" s="29" t="str">
        <x:v>SEARCH</x:v>
      </x:c>
      <x:c r="J27" s="29" t="str">
        <x:v>未转化</x:v>
      </x:c>
      <x:c r="K27" s="29" t="str">
        <x:v>线索</x:v>
      </x:c>
      <x:c r="L27" s="38" t="n">
        <x:v>46027.041666666664</x:v>
      </x:c>
      <x:c r="M27" s="29" t="str">
        <x:v>2026-01</x:v>
      </x:c>
      <x:c r="N27" s="41" t="str"/>
      <x:c r="O27" s="29" t="str"/>
      <x:c r="P27" s="29" t="str">
        <x:v>CRM-IT-20260714-01</x:v>
      </x:c>
      <x:c r="Q27" s="29" t="str">
        <x:v>API</x:v>
      </x:c>
      <x:c r="R27" s="30" t="str">
        <x:v>按状态创建/转化</x:v>
      </x:c>
    </x:row>
    <x:row r="28" ht="15" hidden="0" customHeight="1">
      <x:c r="A28" s="44" t="n">
        <x:v>27</x:v>
      </x:c>
      <x:c r="B28" s="29" t="str">
        <x:v>CUSTOMER</x:v>
      </x:c>
      <x:c r="C28" s="29" t="str">
        <x:v>CUS-001</x:v>
      </x:c>
      <x:c r="D28" s="29" t="str">
        <x:v>TENANT-A</x:v>
      </x:c>
      <x:c r="E28" s="29" t="str"/>
      <x:c r="F28" s="29" t="str"/>
      <x:c r="G28" s="29" t="str">
        <x:v>1001</x:v>
      </x:c>
      <x:c r="H28" s="29" t="str">
        <x:v>[联调0714]星河科技</x:v>
      </x:c>
      <x:c r="I28" s="29" t="str"/>
      <x:c r="J28" s="29" t="str">
        <x:v>已成交</x:v>
      </x:c>
      <x:c r="K28" s="29" t="str">
        <x:v>客户</x:v>
      </x:c>
      <x:c r="L28" s="38" t="n">
        <x:v>46027.041666666664</x:v>
      </x:c>
      <x:c r="M28" s="29" t="str">
        <x:v>2026-01</x:v>
      </x:c>
      <x:c r="N28" s="41" t="str"/>
      <x:c r="O28" s="29" t="n">
        <x:v>1</x:v>
      </x:c>
      <x:c r="P28" s="29" t="str">
        <x:v>CRM-IT-20260714-01</x:v>
      </x:c>
      <x:c r="Q28" s="29" t="str">
        <x:v>CUSTOMER_EXCEL</x:v>
      </x:c>
      <x:c r="R28" s="30" t="str">
        <x:v>与客户直接导入页 logical_id 对应</x:v>
      </x:c>
    </x:row>
    <x:row r="29" ht="15" hidden="0" customHeight="1">
      <x:c r="A29" s="44" t="n">
        <x:v>28</x:v>
      </x:c>
      <x:c r="B29" s="29" t="str">
        <x:v>CUSTOMER</x:v>
      </x:c>
      <x:c r="C29" s="29" t="str">
        <x:v>CUS-002</x:v>
      </x:c>
      <x:c r="D29" s="29" t="str">
        <x:v>TENANT-A</x:v>
      </x:c>
      <x:c r="E29" s="29" t="str"/>
      <x:c r="F29" s="29" t="str"/>
      <x:c r="G29" s="29" t="str">
        <x:v>1001</x:v>
      </x:c>
      <x:c r="H29" s="29" t="str">
        <x:v>[联调0714]远航制造</x:v>
      </x:c>
      <x:c r="I29" s="29" t="str"/>
      <x:c r="J29" s="29" t="str">
        <x:v>已成交</x:v>
      </x:c>
      <x:c r="K29" s="29" t="str">
        <x:v>客户</x:v>
      </x:c>
      <x:c r="L29" s="38" t="n">
        <x:v>46028.041666666664</x:v>
      </x:c>
      <x:c r="M29" s="29" t="str">
        <x:v>2026-01</x:v>
      </x:c>
      <x:c r="N29" s="41" t="str"/>
      <x:c r="O29" s="29" t="n">
        <x:v>1</x:v>
      </x:c>
      <x:c r="P29" s="29" t="str">
        <x:v>CRM-IT-20260714-01</x:v>
      </x:c>
      <x:c r="Q29" s="29" t="str">
        <x:v>CUSTOMER_EXCEL</x:v>
      </x:c>
      <x:c r="R29" s="30" t="str">
        <x:v>与客户直接导入页 logical_id 对应</x:v>
      </x:c>
    </x:row>
    <x:row r="30" ht="15" hidden="0" customHeight="1">
      <x:c r="A30" s="44" t="n">
        <x:v>29</x:v>
      </x:c>
      <x:c r="B30" s="29" t="str">
        <x:v>CUSTOMER</x:v>
      </x:c>
      <x:c r="C30" s="29" t="str">
        <x:v>CUS-003</x:v>
      </x:c>
      <x:c r="D30" s="29" t="str">
        <x:v>TENANT-A</x:v>
      </x:c>
      <x:c r="E30" s="29" t="str"/>
      <x:c r="F30" s="29" t="str"/>
      <x:c r="G30" s="29" t="str">
        <x:v>1002</x:v>
      </x:c>
      <x:c r="H30" s="29" t="str">
        <x:v>[联调0714]青云服务</x:v>
      </x:c>
      <x:c r="I30" s="29" t="str"/>
      <x:c r="J30" s="29" t="str">
        <x:v>未成交</x:v>
      </x:c>
      <x:c r="K30" s="29" t="str">
        <x:v>客户</x:v>
      </x:c>
      <x:c r="L30" s="38" t="n">
        <x:v>46029.041666666664</x:v>
      </x:c>
      <x:c r="M30" s="29" t="str">
        <x:v>2026-01</x:v>
      </x:c>
      <x:c r="N30" s="41" t="str"/>
      <x:c r="O30" s="29" t="n">
        <x:v>0</x:v>
      </x:c>
      <x:c r="P30" s="29" t="str">
        <x:v>CRM-IT-20260714-01</x:v>
      </x:c>
      <x:c r="Q30" s="29" t="str">
        <x:v>CUSTOMER_EXCEL</x:v>
      </x:c>
      <x:c r="R30" s="30" t="str">
        <x:v>与客户直接导入页 logical_id 对应</x:v>
      </x:c>
    </x:row>
    <x:row r="31" ht="15" hidden="0" customHeight="1">
      <x:c r="A31" s="44" t="n">
        <x:v>30</x:v>
      </x:c>
      <x:c r="B31" s="29" t="str">
        <x:v>CUSTOMER</x:v>
      </x:c>
      <x:c r="C31" s="29" t="str">
        <x:v>CUS-004</x:v>
      </x:c>
      <x:c r="D31" s="29" t="str">
        <x:v>TENANT-A</x:v>
      </x:c>
      <x:c r="E31" s="29" t="str"/>
      <x:c r="F31" s="29" t="str"/>
      <x:c r="G31" s="29" t="str">
        <x:v>1002</x:v>
      </x:c>
      <x:c r="H31" s="29" t="str">
        <x:v>[联调0714]晨曦贸易</x:v>
      </x:c>
      <x:c r="I31" s="29" t="str"/>
      <x:c r="J31" s="29" t="str">
        <x:v>未成交</x:v>
      </x:c>
      <x:c r="K31" s="29" t="str">
        <x:v>客户</x:v>
      </x:c>
      <x:c r="L31" s="38" t="n">
        <x:v>46030.041666666664</x:v>
      </x:c>
      <x:c r="M31" s="29" t="str">
        <x:v>2026-01</x:v>
      </x:c>
      <x:c r="N31" s="41" t="str"/>
      <x:c r="O31" s="29" t="n">
        <x:v>0</x:v>
      </x:c>
      <x:c r="P31" s="29" t="str">
        <x:v>CRM-IT-20260714-01</x:v>
      </x:c>
      <x:c r="Q31" s="29" t="str">
        <x:v>CUSTOMER_EXCEL</x:v>
      </x:c>
      <x:c r="R31" s="30" t="str">
        <x:v>与客户直接导入页 logical_id 对应</x:v>
      </x:c>
    </x:row>
    <x:row r="32" ht="15" hidden="0" customHeight="1">
      <x:c r="A32" s="44" t="n">
        <x:v>31</x:v>
      </x:c>
      <x:c r="B32" s="29" t="str">
        <x:v>CUSTOMER</x:v>
      </x:c>
      <x:c r="C32" s="29" t="str">
        <x:v>CUS-005</x:v>
      </x:c>
      <x:c r="D32" s="29" t="str">
        <x:v>TENANT-A</x:v>
      </x:c>
      <x:c r="E32" s="29" t="str"/>
      <x:c r="F32" s="29" t="str"/>
      <x:c r="G32" s="29" t="str">
        <x:v>1001</x:v>
      </x:c>
      <x:c r="H32" s="29" t="str">
        <x:v>[联调0714]北辰教育</x:v>
      </x:c>
      <x:c r="I32" s="29" t="str"/>
      <x:c r="J32" s="29" t="str">
        <x:v>未成交</x:v>
      </x:c>
      <x:c r="K32" s="29" t="str">
        <x:v>客户</x:v>
      </x:c>
      <x:c r="L32" s="38" t="n">
        <x:v>46031.041666666664</x:v>
      </x:c>
      <x:c r="M32" s="29" t="str">
        <x:v>2026-01</x:v>
      </x:c>
      <x:c r="N32" s="41" t="str"/>
      <x:c r="O32" s="29" t="n">
        <x:v>0</x:v>
      </x:c>
      <x:c r="P32" s="29" t="str">
        <x:v>CRM-IT-20260714-01</x:v>
      </x:c>
      <x:c r="Q32" s="29" t="str">
        <x:v>CUSTOMER_EXCEL</x:v>
      </x:c>
      <x:c r="R32" s="30" t="str">
        <x:v>与客户直接导入页 logical_id 对应</x:v>
      </x:c>
    </x:row>
    <x:row r="33" ht="15" hidden="0" customHeight="1">
      <x:c r="A33" s="44" t="n">
        <x:v>32</x:v>
      </x:c>
      <x:c r="B33" s="29" t="str">
        <x:v>CUSTOMER</x:v>
      </x:c>
      <x:c r="C33" s="29" t="str">
        <x:v>CUS-006</x:v>
      </x:c>
      <x:c r="D33" s="29" t="str">
        <x:v>TENANT-A</x:v>
      </x:c>
      <x:c r="E33" s="29" t="str"/>
      <x:c r="F33" s="29" t="str"/>
      <x:c r="G33" s="29" t="str">
        <x:v>1002</x:v>
      </x:c>
      <x:c r="H33" s="29" t="str">
        <x:v>[联调0714]华光医疗</x:v>
      </x:c>
      <x:c r="I33" s="29" t="str"/>
      <x:c r="J33" s="29" t="str">
        <x:v>未成交</x:v>
      </x:c>
      <x:c r="K33" s="29" t="str">
        <x:v>客户</x:v>
      </x:c>
      <x:c r="L33" s="38" t="n">
        <x:v>46032.041666666664</x:v>
      </x:c>
      <x:c r="M33" s="29" t="str">
        <x:v>2026-01</x:v>
      </x:c>
      <x:c r="N33" s="41" t="str"/>
      <x:c r="O33" s="29" t="n">
        <x:v>0</x:v>
      </x:c>
      <x:c r="P33" s="29" t="str">
        <x:v>CRM-IT-20260714-01</x:v>
      </x:c>
      <x:c r="Q33" s="29" t="str">
        <x:v>CUSTOMER_EXCEL</x:v>
      </x:c>
      <x:c r="R33" s="30" t="str">
        <x:v>与客户直接导入页 logical_id 对应</x:v>
      </x:c>
    </x:row>
    <x:row r="34" ht="15" hidden="0" customHeight="1">
      <x:c r="A34" s="44" t="n">
        <x:v>33</x:v>
      </x:c>
      <x:c r="B34" s="29" t="str">
        <x:v>CUSTOMER</x:v>
      </x:c>
      <x:c r="C34" s="29" t="str">
        <x:v>CUS-007</x:v>
      </x:c>
      <x:c r="D34" s="29" t="str">
        <x:v>TENANT-A</x:v>
      </x:c>
      <x:c r="E34" s="29" t="str"/>
      <x:c r="F34" s="29" t="str"/>
      <x:c r="G34" s="29" t="str">
        <x:v>1001</x:v>
      </x:c>
      <x:c r="H34" s="29" t="str">
        <x:v>[联调0714]南风物流</x:v>
      </x:c>
      <x:c r="I34" s="29" t="str"/>
      <x:c r="J34" s="29" t="str">
        <x:v>未成交</x:v>
      </x:c>
      <x:c r="K34" s="29" t="str">
        <x:v>客户</x:v>
      </x:c>
      <x:c r="L34" s="38" t="n">
        <x:v>46033.041666666664</x:v>
      </x:c>
      <x:c r="M34" s="29" t="str">
        <x:v>2026-01</x:v>
      </x:c>
      <x:c r="N34" s="41" t="str"/>
      <x:c r="O34" s="29" t="n">
        <x:v>0</x:v>
      </x:c>
      <x:c r="P34" s="29" t="str">
        <x:v>CRM-IT-20260714-01</x:v>
      </x:c>
      <x:c r="Q34" s="29" t="str">
        <x:v>CUSTOMER_EXCEL</x:v>
      </x:c>
      <x:c r="R34" s="30" t="str">
        <x:v>与客户直接导入页 logical_id 对应</x:v>
      </x:c>
    </x:row>
    <x:row r="35" ht="15" hidden="0" customHeight="1">
      <x:c r="A35" s="44" t="n">
        <x:v>34</x:v>
      </x:c>
      <x:c r="B35" s="29" t="str">
        <x:v>CUSTOMER</x:v>
      </x:c>
      <x:c r="C35" s="29" t="str">
        <x:v>CUS-009</x:v>
      </x:c>
      <x:c r="D35" s="29" t="str">
        <x:v>TENANT-A</x:v>
      </x:c>
      <x:c r="E35" s="29" t="str"/>
      <x:c r="F35" s="29" t="str"/>
      <x:c r="G35" s="29" t="str">
        <x:v>1002</x:v>
      </x:c>
      <x:c r="H35" s="29" t="str">
        <x:v>[联调0714]权限隔离客户</x:v>
      </x:c>
      <x:c r="I35" s="29" t="str"/>
      <x:c r="J35" s="29" t="str">
        <x:v>未成交</x:v>
      </x:c>
      <x:c r="K35" s="29" t="str">
        <x:v>客户</x:v>
      </x:c>
      <x:c r="L35" s="38" t="n">
        <x:v>46034.041666666664</x:v>
      </x:c>
      <x:c r="M35" s="29" t="str">
        <x:v>2026-01</x:v>
      </x:c>
      <x:c r="N35" s="41" t="str"/>
      <x:c r="O35" s="29" t="n">
        <x:v>0</x:v>
      </x:c>
      <x:c r="P35" s="29" t="str">
        <x:v>CRM-IT-20260714-01</x:v>
      </x:c>
      <x:c r="Q35" s="29" t="str">
        <x:v>CUSTOMER_EXCEL</x:v>
      </x:c>
      <x:c r="R35" s="30" t="str">
        <x:v>与客户直接导入页 logical_id 对应</x:v>
      </x:c>
    </x:row>
    <x:row r="36" ht="15" hidden="0" customHeight="1">
      <x:c r="A36" s="44" t="n">
        <x:v>35</x:v>
      </x:c>
      <x:c r="B36" s="29" t="str">
        <x:v>CUSTOMER</x:v>
      </x:c>
      <x:c r="C36" s="29" t="str">
        <x:v>CUS-010</x:v>
      </x:c>
      <x:c r="D36" s="29" t="str">
        <x:v>TENANT-A</x:v>
      </x:c>
      <x:c r="E36" s="29" t="str"/>
      <x:c r="F36" s="29" t="str"/>
      <x:c r="G36" s="29" t="str">
        <x:v>1001</x:v>
      </x:c>
      <x:c r="H36" s="29" t="str">
        <x:v>[联调0714]成交周期客户</x:v>
      </x:c>
      <x:c r="I36" s="29" t="str"/>
      <x:c r="J36" s="29" t="str">
        <x:v>已成交</x:v>
      </x:c>
      <x:c r="K36" s="29" t="str">
        <x:v>客户</x:v>
      </x:c>
      <x:c r="L36" s="38" t="n">
        <x:v>45992.041666666664</x:v>
      </x:c>
      <x:c r="M36" s="29" t="str">
        <x:v>2025-12</x:v>
      </x:c>
      <x:c r="N36" s="41" t="str"/>
      <x:c r="O36" s="29" t="n">
        <x:v>1</x:v>
      </x:c>
      <x:c r="P36" s="29" t="str">
        <x:v>CRM-IT-20260714-01</x:v>
      </x:c>
      <x:c r="Q36" s="29" t="str">
        <x:v>CUSTOMER_EXCEL</x:v>
      </x:c>
      <x:c r="R36" s="30" t="str">
        <x:v>与客户直接导入页 logical_id 对应</x:v>
      </x:c>
    </x:row>
    <x:row r="37" ht="15" hidden="0" customHeight="1">
      <x:c r="A37" s="44" t="n">
        <x:v>36</x:v>
      </x:c>
      <x:c r="B37" s="29" t="str">
        <x:v>CUSTOMER</x:v>
      </x:c>
      <x:c r="C37" s="29" t="str">
        <x:v>CUS-011</x:v>
      </x:c>
      <x:c r="D37" s="29" t="str">
        <x:v>TENANT-A</x:v>
      </x:c>
      <x:c r="E37" s="29" t="str"/>
      <x:c r="F37" s="29" t="str"/>
      <x:c r="G37" s="29" t="str">
        <x:v>1001</x:v>
      </x:c>
      <x:c r="H37" s="29" t="str">
        <x:v>[联调0714]零金额客户</x:v>
      </x:c>
      <x:c r="I37" s="29" t="str"/>
      <x:c r="J37" s="29" t="str">
        <x:v>已成交</x:v>
      </x:c>
      <x:c r="K37" s="29" t="str">
        <x:v>客户</x:v>
      </x:c>
      <x:c r="L37" s="38" t="n">
        <x:v>46035.041666666664</x:v>
      </x:c>
      <x:c r="M37" s="29" t="str">
        <x:v>2026-01</x:v>
      </x:c>
      <x:c r="N37" s="41" t="str"/>
      <x:c r="O37" s="29" t="n">
        <x:v>1</x:v>
      </x:c>
      <x:c r="P37" s="29" t="str">
        <x:v>CRM-IT-20260714-01</x:v>
      </x:c>
      <x:c r="Q37" s="29" t="str">
        <x:v>CUSTOMER_EXCEL</x:v>
      </x:c>
      <x:c r="R37" s="30" t="str">
        <x:v>与客户直接导入页 logical_id 对应</x:v>
      </x:c>
    </x:row>
    <x:row r="38" ht="15" hidden="0" customHeight="1">
      <x:c r="A38" s="44" t="n">
        <x:v>37</x:v>
      </x:c>
      <x:c r="B38" s="29" t="str">
        <x:v>CUSTOMER</x:v>
      </x:c>
      <x:c r="C38" s="29" t="str">
        <x:v>CUS-008</x:v>
      </x:c>
      <x:c r="D38" s="29" t="str">
        <x:v>TENANT-B</x:v>
      </x:c>
      <x:c r="E38" s="29" t="str"/>
      <x:c r="F38" s="29" t="str"/>
      <x:c r="G38" s="29" t="str">
        <x:v>2001</x:v>
      </x:c>
      <x:c r="H38" s="29" t="str">
        <x:v>[联调0714]跨租户客户</x:v>
      </x:c>
      <x:c r="I38" s="29" t="str"/>
      <x:c r="J38" s="29" t="str">
        <x:v>已成交</x:v>
      </x:c>
      <x:c r="K38" s="29" t="str">
        <x:v>客户</x:v>
      </x:c>
      <x:c r="L38" s="38" t="n">
        <x:v>46030.041666666664</x:v>
      </x:c>
      <x:c r="M38" s="29" t="str">
        <x:v>2026-01</x:v>
      </x:c>
      <x:c r="N38" s="41" t="str"/>
      <x:c r="O38" s="29" t="n">
        <x:v>1</x:v>
      </x:c>
      <x:c r="P38" s="29" t="str">
        <x:v>CRM-IT-20260714-01</x:v>
      </x:c>
      <x:c r="Q38" s="29" t="str">
        <x:v>API</x:v>
      </x:c>
      <x:c r="R38" s="30" t="str">
        <x:v>TENANT-A 不可见</x:v>
      </x:c>
    </x:row>
    <x:row r="39" ht="15" hidden="0" customHeight="1">
      <x:c r="A39" s="44" t="n">
        <x:v>38</x:v>
      </x:c>
      <x:c r="B39" s="29" t="str">
        <x:v>CONTACT</x:v>
      </x:c>
      <x:c r="C39" s="29" t="str">
        <x:v>CONT-001</x:v>
      </x:c>
      <x:c r="D39" s="29" t="str">
        <x:v>TENANT-A</x:v>
      </x:c>
      <x:c r="E39" s="29" t="str">
        <x:v>CUS-001</x:v>
      </x:c>
      <x:c r="F39" s="29" t="str"/>
      <x:c r="G39" s="29" t="str">
        <x:v>1001</x:v>
      </x:c>
      <x:c r="H39" s="29" t="str">
        <x:v>联系人甲</x:v>
      </x:c>
      <x:c r="I39" s="29" t="str"/>
      <x:c r="J39" s="29" t="str">
        <x:v>有效</x:v>
      </x:c>
      <x:c r="K39" s="29" t="str">
        <x:v>联系人</x:v>
      </x:c>
      <x:c r="L39" s="38" t="n">
        <x:v>46032.083333333336</x:v>
      </x:c>
      <x:c r="M39" s="29" t="str">
        <x:v>2026-01</x:v>
      </x:c>
      <x:c r="N39" s="41" t="str"/>
      <x:c r="O39" s="29" t="str"/>
      <x:c r="P39" s="29" t="str">
        <x:v>CRM-IT-20260714-01</x:v>
      </x:c>
      <x:c r="Q39" s="29" t="str">
        <x:v>API</x:v>
      </x:c>
      <x:c r="R39" s="30" t="str">
        <x:v>关联客户存在</x:v>
      </x:c>
    </x:row>
    <x:row r="40" ht="15" hidden="0" customHeight="1">
      <x:c r="A40" s="44" t="n">
        <x:v>39</x:v>
      </x:c>
      <x:c r="B40" s="29" t="str">
        <x:v>CONTACT</x:v>
      </x:c>
      <x:c r="C40" s="29" t="str">
        <x:v>CONT-002</x:v>
      </x:c>
      <x:c r="D40" s="29" t="str">
        <x:v>TENANT-A</x:v>
      </x:c>
      <x:c r="E40" s="29" t="str">
        <x:v>CUS-001</x:v>
      </x:c>
      <x:c r="F40" s="29" t="str"/>
      <x:c r="G40" s="29" t="str">
        <x:v>1001</x:v>
      </x:c>
      <x:c r="H40" s="29" t="str">
        <x:v>联系人乙</x:v>
      </x:c>
      <x:c r="I40" s="29" t="str"/>
      <x:c r="J40" s="29" t="str">
        <x:v>有效</x:v>
      </x:c>
      <x:c r="K40" s="29" t="str">
        <x:v>联系人</x:v>
      </x:c>
      <x:c r="L40" s="38" t="n">
        <x:v>46032.083333333336</x:v>
      </x:c>
      <x:c r="M40" s="29" t="str">
        <x:v>2026-01</x:v>
      </x:c>
      <x:c r="N40" s="41" t="str"/>
      <x:c r="O40" s="29" t="str"/>
      <x:c r="P40" s="29" t="str">
        <x:v>CRM-IT-20260714-01</x:v>
      </x:c>
      <x:c r="Q40" s="29" t="str">
        <x:v>API</x:v>
      </x:c>
      <x:c r="R40" s="30" t="str">
        <x:v>关联客户存在</x:v>
      </x:c>
    </x:row>
    <x:row r="41" ht="15" hidden="0" customHeight="1">
      <x:c r="A41" s="44" t="n">
        <x:v>40</x:v>
      </x:c>
      <x:c r="B41" s="29" t="str">
        <x:v>CONTACT</x:v>
      </x:c>
      <x:c r="C41" s="29" t="str">
        <x:v>CONT-003</x:v>
      </x:c>
      <x:c r="D41" s="29" t="str">
        <x:v>TENANT-A</x:v>
      </x:c>
      <x:c r="E41" s="29" t="str">
        <x:v>CUS-002</x:v>
      </x:c>
      <x:c r="F41" s="29" t="str"/>
      <x:c r="G41" s="29" t="str">
        <x:v>1001</x:v>
      </x:c>
      <x:c r="H41" s="29" t="str">
        <x:v>联系人丙</x:v>
      </x:c>
      <x:c r="I41" s="29" t="str"/>
      <x:c r="J41" s="29" t="str">
        <x:v>有效</x:v>
      </x:c>
      <x:c r="K41" s="29" t="str">
        <x:v>联系人</x:v>
      </x:c>
      <x:c r="L41" s="38" t="n">
        <x:v>46032.083333333336</x:v>
      </x:c>
      <x:c r="M41" s="29" t="str">
        <x:v>2026-01</x:v>
      </x:c>
      <x:c r="N41" s="41" t="str"/>
      <x:c r="O41" s="29" t="str"/>
      <x:c r="P41" s="29" t="str">
        <x:v>CRM-IT-20260714-01</x:v>
      </x:c>
      <x:c r="Q41" s="29" t="str">
        <x:v>API</x:v>
      </x:c>
      <x:c r="R41" s="30" t="str">
        <x:v>关联客户存在</x:v>
      </x:c>
    </x:row>
    <x:row r="42" ht="15" hidden="0" customHeight="1">
      <x:c r="A42" s="44" t="n">
        <x:v>41</x:v>
      </x:c>
      <x:c r="B42" s="29" t="str">
        <x:v>CONTACT</x:v>
      </x:c>
      <x:c r="C42" s="29" t="str">
        <x:v>CONT-004</x:v>
      </x:c>
      <x:c r="D42" s="29" t="str">
        <x:v>TENANT-A</x:v>
      </x:c>
      <x:c r="E42" s="29" t="str">
        <x:v>CUS-003</x:v>
      </x:c>
      <x:c r="F42" s="29" t="str"/>
      <x:c r="G42" s="29" t="str">
        <x:v>1002</x:v>
      </x:c>
      <x:c r="H42" s="29" t="str">
        <x:v>联系人丁</x:v>
      </x:c>
      <x:c r="I42" s="29" t="str"/>
      <x:c r="J42" s="29" t="str">
        <x:v>有效</x:v>
      </x:c>
      <x:c r="K42" s="29" t="str">
        <x:v>联系人</x:v>
      </x:c>
      <x:c r="L42" s="38" t="n">
        <x:v>46032.083333333336</x:v>
      </x:c>
      <x:c r="M42" s="29" t="str">
        <x:v>2026-01</x:v>
      </x:c>
      <x:c r="N42" s="41" t="str"/>
      <x:c r="O42" s="29" t="str"/>
      <x:c r="P42" s="29" t="str">
        <x:v>CRM-IT-20260714-01</x:v>
      </x:c>
      <x:c r="Q42" s="29" t="str">
        <x:v>API</x:v>
      </x:c>
      <x:c r="R42" s="30" t="str">
        <x:v>关联客户存在</x:v>
      </x:c>
    </x:row>
    <x:row r="43" ht="15" hidden="0" customHeight="1">
      <x:c r="A43" s="44" t="n">
        <x:v>42</x:v>
      </x:c>
      <x:c r="B43" s="29" t="str">
        <x:v>CONTACT</x:v>
      </x:c>
      <x:c r="C43" s="29" t="str">
        <x:v>CONT-005</x:v>
      </x:c>
      <x:c r="D43" s="29" t="str">
        <x:v>TENANT-A</x:v>
      </x:c>
      <x:c r="E43" s="29" t="str">
        <x:v>CUS-004</x:v>
      </x:c>
      <x:c r="F43" s="29" t="str"/>
      <x:c r="G43" s="29" t="str">
        <x:v>1002</x:v>
      </x:c>
      <x:c r="H43" s="29" t="str">
        <x:v>联系人戊</x:v>
      </x:c>
      <x:c r="I43" s="29" t="str"/>
      <x:c r="J43" s="29" t="str">
        <x:v>有效</x:v>
      </x:c>
      <x:c r="K43" s="29" t="str">
        <x:v>联系人</x:v>
      </x:c>
      <x:c r="L43" s="38" t="n">
        <x:v>46032.083333333336</x:v>
      </x:c>
      <x:c r="M43" s="29" t="str">
        <x:v>2026-01</x:v>
      </x:c>
      <x:c r="N43" s="41" t="str"/>
      <x:c r="O43" s="29" t="str"/>
      <x:c r="P43" s="29" t="str">
        <x:v>CRM-IT-20260714-01</x:v>
      </x:c>
      <x:c r="Q43" s="29" t="str">
        <x:v>API</x:v>
      </x:c>
      <x:c r="R43" s="30" t="str">
        <x:v>关联客户存在</x:v>
      </x:c>
    </x:row>
    <x:row r="44" ht="15" hidden="0" customHeight="1">
      <x:c r="A44" s="44" t="n">
        <x:v>43</x:v>
      </x:c>
      <x:c r="B44" s="29" t="str">
        <x:v>CONTACT</x:v>
      </x:c>
      <x:c r="C44" s="29" t="str">
        <x:v>CONT-006</x:v>
      </x:c>
      <x:c r="D44" s="29" t="str">
        <x:v>TENANT-A</x:v>
      </x:c>
      <x:c r="E44" s="29" t="str">
        <x:v>CUS-009</x:v>
      </x:c>
      <x:c r="F44" s="29" t="str"/>
      <x:c r="G44" s="29" t="str">
        <x:v>1002</x:v>
      </x:c>
      <x:c r="H44" s="29" t="str">
        <x:v>权限联系人</x:v>
      </x:c>
      <x:c r="I44" s="29" t="str"/>
      <x:c r="J44" s="29" t="str">
        <x:v>有效</x:v>
      </x:c>
      <x:c r="K44" s="29" t="str">
        <x:v>联系人</x:v>
      </x:c>
      <x:c r="L44" s="38" t="n">
        <x:v>46032.083333333336</x:v>
      </x:c>
      <x:c r="M44" s="29" t="str">
        <x:v>2026-01</x:v>
      </x:c>
      <x:c r="N44" s="41" t="str"/>
      <x:c r="O44" s="29" t="str"/>
      <x:c r="P44" s="29" t="str">
        <x:v>CRM-IT-20260714-01</x:v>
      </x:c>
      <x:c r="Q44" s="29" t="str">
        <x:v>API</x:v>
      </x:c>
      <x:c r="R44" s="30" t="str">
        <x:v>关联客户存在</x:v>
      </x:c>
    </x:row>
    <x:row r="45" ht="15" hidden="0" customHeight="1">
      <x:c r="A45" s="44" t="n">
        <x:v>44</x:v>
      </x:c>
      <x:c r="B45" s="29" t="str">
        <x:v>CONTACT</x:v>
      </x:c>
      <x:c r="C45" s="29" t="str">
        <x:v>CONT-007</x:v>
      </x:c>
      <x:c r="D45" s="29" t="str">
        <x:v>TENANT-A</x:v>
      </x:c>
      <x:c r="E45" s="29" t="str">
        <x:v>CUS-010</x:v>
      </x:c>
      <x:c r="F45" s="29" t="str"/>
      <x:c r="G45" s="29" t="str">
        <x:v>1001</x:v>
      </x:c>
      <x:c r="H45" s="29" t="str">
        <x:v>成交联系人</x:v>
      </x:c>
      <x:c r="I45" s="29" t="str"/>
      <x:c r="J45" s="29" t="str">
        <x:v>有效</x:v>
      </x:c>
      <x:c r="K45" s="29" t="str">
        <x:v>联系人</x:v>
      </x:c>
      <x:c r="L45" s="38" t="n">
        <x:v>46032.083333333336</x:v>
      </x:c>
      <x:c r="M45" s="29" t="str">
        <x:v>2026-01</x:v>
      </x:c>
      <x:c r="N45" s="41" t="str"/>
      <x:c r="O45" s="29" t="str"/>
      <x:c r="P45" s="29" t="str">
        <x:v>CRM-IT-20260714-01</x:v>
      </x:c>
      <x:c r="Q45" s="29" t="str">
        <x:v>API</x:v>
      </x:c>
      <x:c r="R45" s="30" t="str">
        <x:v>关联客户存在</x:v>
      </x:c>
    </x:row>
    <x:row r="46" ht="15" hidden="0" customHeight="1">
      <x:c r="A46" s="44" t="n">
        <x:v>45</x:v>
      </x:c>
      <x:c r="B46" s="29" t="str">
        <x:v>POOL_OPERATION</x:v>
      </x:c>
      <x:c r="C46" s="29" t="str">
        <x:v>POOL-001</x:v>
      </x:c>
      <x:c r="D46" s="29" t="str">
        <x:v>TENANT-A</x:v>
      </x:c>
      <x:c r="E46" s="29" t="str">
        <x:v>CUS-004</x:v>
      </x:c>
      <x:c r="F46" s="29" t="str"/>
      <x:c r="G46" s="29" t="str">
        <x:v>1002</x:v>
      </x:c>
      <x:c r="H46" s="29" t="str">
        <x:v>公海操作</x:v>
      </x:c>
      <x:c r="I46" s="29" t="str"/>
      <x:c r="J46" s="29" t="str">
        <x:v>成功</x:v>
      </x:c>
      <x:c r="K46" s="29" t="str">
        <x:v>投入</x:v>
      </x:c>
      <x:c r="L46" s="38" t="n">
        <x:v>46034.083333333336</x:v>
      </x:c>
      <x:c r="M46" s="29" t="str">
        <x:v>2026-01</x:v>
      </x:c>
      <x:c r="N46" s="41" t="str"/>
      <x:c r="O46" s="29" t="str">
        <x:v>1</x:v>
      </x:c>
      <x:c r="P46" s="29" t="str">
        <x:v>CRM-IT-20260714-01</x:v>
      </x:c>
      <x:c r="Q46" s="29" t="str">
        <x:v>API</x:v>
      </x:c>
      <x:c r="R46" s="30" t="str">
        <x:v>按操作次数统计</x:v>
      </x:c>
    </x:row>
    <x:row r="47" ht="15" hidden="0" customHeight="1">
      <x:c r="A47" s="44" t="n">
        <x:v>46</x:v>
      </x:c>
      <x:c r="B47" s="29" t="str">
        <x:v>POOL_OPERATION</x:v>
      </x:c>
      <x:c r="C47" s="29" t="str">
        <x:v>POOL-002</x:v>
      </x:c>
      <x:c r="D47" s="29" t="str">
        <x:v>TENANT-A</x:v>
      </x:c>
      <x:c r="E47" s="29" t="str">
        <x:v>CUS-004</x:v>
      </x:c>
      <x:c r="F47" s="29" t="str"/>
      <x:c r="G47" s="29" t="str">
        <x:v>1001</x:v>
      </x:c>
      <x:c r="H47" s="29" t="str">
        <x:v>公海操作</x:v>
      </x:c>
      <x:c r="I47" s="29" t="str"/>
      <x:c r="J47" s="29" t="str">
        <x:v>成功</x:v>
      </x:c>
      <x:c r="K47" s="29" t="str">
        <x:v>领取</x:v>
      </x:c>
      <x:c r="L47" s="38" t="n">
        <x:v>46034.083333333336</x:v>
      </x:c>
      <x:c r="M47" s="29" t="str">
        <x:v>2026-01</x:v>
      </x:c>
      <x:c r="N47" s="41" t="str"/>
      <x:c r="O47" s="29" t="str">
        <x:v>1</x:v>
      </x:c>
      <x:c r="P47" s="29" t="str">
        <x:v>CRM-IT-20260714-01</x:v>
      </x:c>
      <x:c r="Q47" s="29" t="str">
        <x:v>API</x:v>
      </x:c>
      <x:c r="R47" s="30" t="str">
        <x:v>按操作次数统计</x:v>
      </x:c>
    </x:row>
    <x:row r="48" ht="15" hidden="0" customHeight="1">
      <x:c r="A48" s="44" t="n">
        <x:v>47</x:v>
      </x:c>
      <x:c r="B48" s="29" t="str">
        <x:v>POOL_OPERATION</x:v>
      </x:c>
      <x:c r="C48" s="29" t="str">
        <x:v>POOL-003</x:v>
      </x:c>
      <x:c r="D48" s="29" t="str">
        <x:v>TENANT-A</x:v>
      </x:c>
      <x:c r="E48" s="29" t="str">
        <x:v>CUS-004</x:v>
      </x:c>
      <x:c r="F48" s="29" t="str"/>
      <x:c r="G48" s="29" t="str">
        <x:v>1001</x:v>
      </x:c>
      <x:c r="H48" s="29" t="str">
        <x:v>公海操作</x:v>
      </x:c>
      <x:c r="I48" s="29" t="str"/>
      <x:c r="J48" s="29" t="str">
        <x:v>成功</x:v>
      </x:c>
      <x:c r="K48" s="29" t="str">
        <x:v>投入</x:v>
      </x:c>
      <x:c r="L48" s="38" t="n">
        <x:v>46034.083333333336</x:v>
      </x:c>
      <x:c r="M48" s="29" t="str">
        <x:v>2026-01</x:v>
      </x:c>
      <x:c r="N48" s="41" t="str"/>
      <x:c r="O48" s="29" t="str">
        <x:v>1</x:v>
      </x:c>
      <x:c r="P48" s="29" t="str">
        <x:v>CRM-IT-20260714-01</x:v>
      </x:c>
      <x:c r="Q48" s="29" t="str">
        <x:v>API</x:v>
      </x:c>
      <x:c r="R48" s="30" t="str">
        <x:v>按操作次数统计</x:v>
      </x:c>
    </x:row>
    <x:row r="49" ht="15" hidden="0" customHeight="1">
      <x:c r="A49" s="44" t="n">
        <x:v>48</x:v>
      </x:c>
      <x:c r="B49" s="29" t="str">
        <x:v>POOL_OPERATION</x:v>
      </x:c>
      <x:c r="C49" s="29" t="str">
        <x:v>POOL-004</x:v>
      </x:c>
      <x:c r="D49" s="29" t="str">
        <x:v>TENANT-A</x:v>
      </x:c>
      <x:c r="E49" s="29" t="str">
        <x:v>CUS-004</x:v>
      </x:c>
      <x:c r="F49" s="29" t="str"/>
      <x:c r="G49" s="29" t="str">
        <x:v>1002</x:v>
      </x:c>
      <x:c r="H49" s="29" t="str">
        <x:v>公海操作</x:v>
      </x:c>
      <x:c r="I49" s="29" t="str"/>
      <x:c r="J49" s="29" t="str">
        <x:v>成功</x:v>
      </x:c>
      <x:c r="K49" s="29" t="str">
        <x:v>领取</x:v>
      </x:c>
      <x:c r="L49" s="38" t="n">
        <x:v>46034.083333333336</x:v>
      </x:c>
      <x:c r="M49" s="29" t="str">
        <x:v>2026-01</x:v>
      </x:c>
      <x:c r="N49" s="41" t="str"/>
      <x:c r="O49" s="29" t="str">
        <x:v>1</x:v>
      </x:c>
      <x:c r="P49" s="29" t="str">
        <x:v>CRM-IT-20260714-01</x:v>
      </x:c>
      <x:c r="Q49" s="29" t="str">
        <x:v>API</x:v>
      </x:c>
      <x:c r="R49" s="30" t="str">
        <x:v>按操作次数统计</x:v>
      </x:c>
    </x:row>
    <x:row r="50" ht="15" hidden="0" customHeight="1">
      <x:c r="A50" s="44" t="n">
        <x:v>49</x:v>
      </x:c>
      <x:c r="B50" s="29" t="str">
        <x:v>PRODUCT</x:v>
      </x:c>
      <x:c r="C50" s="29" t="str">
        <x:v>PROD-001</x:v>
      </x:c>
      <x:c r="D50" s="29" t="str">
        <x:v>TENANT-A</x:v>
      </x:c>
      <x:c r="E50" s="29" t="str"/>
      <x:c r="F50" s="29" t="str"/>
      <x:c r="G50" s="29" t="str"/>
      <x:c r="H50" s="29" t="str">
        <x:v>CRM标准版</x:v>
      </x:c>
      <x:c r="I50" s="29" t="str">
        <x:v>CRM-STD</x:v>
      </x:c>
      <x:c r="J50" s="29" t="str">
        <x:v>启用</x:v>
      </x:c>
      <x:c r="K50" s="29" t="str">
        <x:v>产品</x:v>
      </x:c>
      <x:c r="L50" s="38" t="n">
        <x:v>46023.041666666664</x:v>
      </x:c>
      <x:c r="M50" s="29" t="str">
        <x:v>2026-01</x:v>
      </x:c>
      <x:c r="N50" s="41" t="n">
        <x:v>100.01</x:v>
      </x:c>
      <x:c r="O50" s="29" t="str"/>
      <x:c r="P50" s="29" t="str">
        <x:v>CRM-IT-20260714-01</x:v>
      </x:c>
      <x:c r="Q50" s="29" t="str">
        <x:v>API</x:v>
      </x:c>
      <x:c r="R50" s="30" t="str">
        <x:v>供商机和合同产品引用</x:v>
      </x:c>
    </x:row>
    <x:row r="51" ht="15" hidden="0" customHeight="1">
      <x:c r="A51" s="44" t="n">
        <x:v>50</x:v>
      </x:c>
      <x:c r="B51" s="29" t="str">
        <x:v>PRODUCT</x:v>
      </x:c>
      <x:c r="C51" s="29" t="str">
        <x:v>PROD-002</x:v>
      </x:c>
      <x:c r="D51" s="29" t="str">
        <x:v>TENANT-A</x:v>
      </x:c>
      <x:c r="E51" s="29" t="str"/>
      <x:c r="F51" s="29" t="str"/>
      <x:c r="G51" s="29" t="str"/>
      <x:c r="H51" s="29" t="str">
        <x:v>CRM专业版</x:v>
      </x:c>
      <x:c r="I51" s="29" t="str">
        <x:v>CRM-PRO</x:v>
      </x:c>
      <x:c r="J51" s="29" t="str">
        <x:v>启用</x:v>
      </x:c>
      <x:c r="K51" s="29" t="str">
        <x:v>产品</x:v>
      </x:c>
      <x:c r="L51" s="38" t="n">
        <x:v>46023.041666666664</x:v>
      </x:c>
      <x:c r="M51" s="29" t="str">
        <x:v>2026-01</x:v>
      </x:c>
      <x:c r="N51" s="41" t="n">
        <x:v>300.03</x:v>
      </x:c>
      <x:c r="O51" s="29" t="str"/>
      <x:c r="P51" s="29" t="str">
        <x:v>CRM-IT-20260714-01</x:v>
      </x:c>
      <x:c r="Q51" s="29" t="str">
        <x:v>API</x:v>
      </x:c>
      <x:c r="R51" s="30" t="str">
        <x:v>供商机和合同产品引用</x:v>
      </x:c>
    </x:row>
    <x:row r="52" ht="15" hidden="0" customHeight="1">
      <x:c r="A52" s="44" t="n">
        <x:v>51</x:v>
      </x:c>
      <x:c r="B52" s="29" t="str">
        <x:v>PRODUCT</x:v>
      </x:c>
      <x:c r="C52" s="29" t="str">
        <x:v>PROD-003</x:v>
      </x:c>
      <x:c r="D52" s="29" t="str">
        <x:v>TENANT-A</x:v>
      </x:c>
      <x:c r="E52" s="29" t="str"/>
      <x:c r="F52" s="29" t="str"/>
      <x:c r="G52" s="29" t="str"/>
      <x:c r="H52" s="29" t="str">
        <x:v>实施服务</x:v>
      </x:c>
      <x:c r="I52" s="29" t="str">
        <x:v>SERVICE</x:v>
      </x:c>
      <x:c r="J52" s="29" t="str">
        <x:v>启用</x:v>
      </x:c>
      <x:c r="K52" s="29" t="str">
        <x:v>产品</x:v>
      </x:c>
      <x:c r="L52" s="38" t="n">
        <x:v>46023.041666666664</x:v>
      </x:c>
      <x:c r="M52" s="29" t="str">
        <x:v>2026-01</x:v>
      </x:c>
      <x:c r="N52" s="41" t="n">
        <x:v>500.05</x:v>
      </x:c>
      <x:c r="O52" s="29" t="str"/>
      <x:c r="P52" s="29" t="str">
        <x:v>CRM-IT-20260714-01</x:v>
      </x:c>
      <x:c r="Q52" s="29" t="str">
        <x:v>API</x:v>
      </x:c>
      <x:c r="R52" s="30" t="str">
        <x:v>供商机和合同产品引用</x:v>
      </x:c>
    </x:row>
    <x:row r="53" ht="15" hidden="0" customHeight="1">
      <x:c r="A53" s="44" t="n">
        <x:v>52</x:v>
      </x:c>
      <x:c r="B53" s="29" t="str">
        <x:v>PRODUCT</x:v>
      </x:c>
      <x:c r="C53" s="29" t="str">
        <x:v>PROD-004</x:v>
      </x:c>
      <x:c r="D53" s="29" t="str">
        <x:v>TENANT-A</x:v>
      </x:c>
      <x:c r="E53" s="29" t="str"/>
      <x:c r="F53" s="29" t="str"/>
      <x:c r="G53" s="29" t="str"/>
      <x:c r="H53" s="29" t="str">
        <x:v>停用产品</x:v>
      </x:c>
      <x:c r="I53" s="29" t="str">
        <x:v>DISABLED</x:v>
      </x:c>
      <x:c r="J53" s="29" t="str">
        <x:v>停用</x:v>
      </x:c>
      <x:c r="K53" s="29" t="str">
        <x:v>产品</x:v>
      </x:c>
      <x:c r="L53" s="38" t="n">
        <x:v>46023.041666666664</x:v>
      </x:c>
      <x:c r="M53" s="29" t="str">
        <x:v>2026-01</x:v>
      </x:c>
      <x:c r="N53" s="41" t="n">
        <x:v>1</x:v>
      </x:c>
      <x:c r="O53" s="29" t="str"/>
      <x:c r="P53" s="29" t="str">
        <x:v>CRM-IT-20260714-01</x:v>
      </x:c>
      <x:c r="Q53" s="29" t="str">
        <x:v>API</x:v>
      </x:c>
      <x:c r="R53" s="30" t="str">
        <x:v>供商机和合同产品引用</x:v>
      </x:c>
    </x:row>
    <x:row r="54" ht="15" hidden="0" customHeight="1">
      <x:c r="A54" s="44" t="n">
        <x:v>53</x:v>
      </x:c>
      <x:c r="B54" s="29" t="str">
        <x:v>BUSINESS</x:v>
      </x:c>
      <x:c r="C54" s="29" t="str">
        <x:v>BUS-001</x:v>
      </x:c>
      <x:c r="D54" s="29" t="str">
        <x:v>TENANT-A</x:v>
      </x:c>
      <x:c r="E54" s="29" t="str">
        <x:v>CUS-001</x:v>
      </x:c>
      <x:c r="F54" s="29" t="str"/>
      <x:c r="G54" s="29" t="str">
        <x:v>1001</x:v>
      </x:c>
      <x:c r="H54" s="29" t="str">
        <x:v>[联调0714]BUS-001</x:v>
      </x:c>
      <x:c r="I54" s="29" t="str"/>
      <x:c r="J54" s="29" t="str">
        <x:v>赢单</x:v>
      </x:c>
      <x:c r="K54" s="29" t="str">
        <x:v>CONTRACT</x:v>
      </x:c>
      <x:c r="L54" s="38" t="n">
        <x:v>46037.041666666664</x:v>
      </x:c>
      <x:c r="M54" s="29" t="str">
        <x:v>2026-01</x:v>
      </x:c>
      <x:c r="N54" s="41" t="n">
        <x:v>1000.1</x:v>
      </x:c>
      <x:c r="O54" s="29" t="str"/>
      <x:c r="P54" s="29" t="str">
        <x:v>CRM-IT-20260714-01</x:v>
      </x:c>
      <x:c r="Q54" s="29" t="str">
        <x:v>API</x:v>
      </x:c>
      <x:c r="R54" s="30" t="str">
        <x:v>漏斗与赢单率断言</x:v>
      </x:c>
    </x:row>
    <x:row r="55" ht="15" hidden="0" customHeight="1">
      <x:c r="A55" s="44" t="n">
        <x:v>54</x:v>
      </x:c>
      <x:c r="B55" s="29" t="str">
        <x:v>BUSINESS</x:v>
      </x:c>
      <x:c r="C55" s="29" t="str">
        <x:v>BUS-002</x:v>
      </x:c>
      <x:c r="D55" s="29" t="str">
        <x:v>TENANT-A</x:v>
      </x:c>
      <x:c r="E55" s="29" t="str">
        <x:v>CUS-002</x:v>
      </x:c>
      <x:c r="F55" s="29" t="str"/>
      <x:c r="G55" s="29" t="str">
        <x:v>1001</x:v>
      </x:c>
      <x:c r="H55" s="29" t="str">
        <x:v>[联调0714]BUS-002</x:v>
      </x:c>
      <x:c r="I55" s="29" t="str"/>
      <x:c r="J55" s="29" t="str">
        <x:v>赢单</x:v>
      </x:c>
      <x:c r="K55" s="29" t="str">
        <x:v>CONTRACT</x:v>
      </x:c>
      <x:c r="L55" s="38" t="n">
        <x:v>46037.041666666664</x:v>
      </x:c>
      <x:c r="M55" s="29" t="str">
        <x:v>2026-01</x:v>
      </x:c>
      <x:c r="N55" s="41" t="n">
        <x:v>2000.2</x:v>
      </x:c>
      <x:c r="O55" s="29" t="str"/>
      <x:c r="P55" s="29" t="str">
        <x:v>CRM-IT-20260714-01</x:v>
      </x:c>
      <x:c r="Q55" s="29" t="str">
        <x:v>API</x:v>
      </x:c>
      <x:c r="R55" s="30" t="str">
        <x:v>漏斗与赢单率断言</x:v>
      </x:c>
    </x:row>
    <x:row r="56" ht="15" hidden="0" customHeight="1">
      <x:c r="A56" s="44" t="n">
        <x:v>55</x:v>
      </x:c>
      <x:c r="B56" s="29" t="str">
        <x:v>BUSINESS</x:v>
      </x:c>
      <x:c r="C56" s="29" t="str">
        <x:v>BUS-003</x:v>
      </x:c>
      <x:c r="D56" s="29" t="str">
        <x:v>TENANT-A</x:v>
      </x:c>
      <x:c r="E56" s="29" t="str">
        <x:v>CUS-003</x:v>
      </x:c>
      <x:c r="F56" s="29" t="str"/>
      <x:c r="G56" s="29" t="str">
        <x:v>1002</x:v>
      </x:c>
      <x:c r="H56" s="29" t="str">
        <x:v>[联调0714]BUS-003</x:v>
      </x:c>
      <x:c r="I56" s="29" t="str"/>
      <x:c r="J56" s="29" t="str">
        <x:v>输单</x:v>
      </x:c>
      <x:c r="K56" s="29" t="str">
        <x:v>QUOTE</x:v>
      </x:c>
      <x:c r="L56" s="38" t="n">
        <x:v>46037.041666666664</x:v>
      </x:c>
      <x:c r="M56" s="29" t="str">
        <x:v>2026-01</x:v>
      </x:c>
      <x:c r="N56" s="41" t="n">
        <x:v>500.05</x:v>
      </x:c>
      <x:c r="O56" s="29" t="str"/>
      <x:c r="P56" s="29" t="str">
        <x:v>CRM-IT-20260714-01</x:v>
      </x:c>
      <x:c r="Q56" s="29" t="str">
        <x:v>API</x:v>
      </x:c>
      <x:c r="R56" s="30" t="str">
        <x:v>漏斗与赢单率断言</x:v>
      </x:c>
    </x:row>
    <x:row r="57" ht="15" hidden="0" customHeight="1">
      <x:c r="A57" s="44" t="n">
        <x:v>56</x:v>
      </x:c>
      <x:c r="B57" s="29" t="str">
        <x:v>BUSINESS</x:v>
      </x:c>
      <x:c r="C57" s="29" t="str">
        <x:v>BUS-004</x:v>
      </x:c>
      <x:c r="D57" s="29" t="str">
        <x:v>TENANT-A</x:v>
      </x:c>
      <x:c r="E57" s="29" t="str">
        <x:v>CUS-004</x:v>
      </x:c>
      <x:c r="F57" s="29" t="str"/>
      <x:c r="G57" s="29" t="str">
        <x:v>1002</x:v>
      </x:c>
      <x:c r="H57" s="29" t="str">
        <x:v>[联调0714]BUS-004</x:v>
      </x:c>
      <x:c r="I57" s="29" t="str"/>
      <x:c r="J57" s="29" t="str">
        <x:v>无效</x:v>
      </x:c>
      <x:c r="K57" s="29" t="str">
        <x:v>CONTACT</x:v>
      </x:c>
      <x:c r="L57" s="38" t="n">
        <x:v>46037.041666666664</x:v>
      </x:c>
      <x:c r="M57" s="29" t="str">
        <x:v>2026-01</x:v>
      </x:c>
      <x:c r="N57" s="41" t="n">
        <x:v>300.03</x:v>
      </x:c>
      <x:c r="O57" s="29" t="str"/>
      <x:c r="P57" s="29" t="str">
        <x:v>CRM-IT-20260714-01</x:v>
      </x:c>
      <x:c r="Q57" s="29" t="str">
        <x:v>API</x:v>
      </x:c>
      <x:c r="R57" s="30" t="str">
        <x:v>漏斗与赢单率断言</x:v>
      </x:c>
    </x:row>
    <x:row r="58" ht="15" hidden="0" customHeight="1">
      <x:c r="A58" s="44" t="n">
        <x:v>57</x:v>
      </x:c>
      <x:c r="B58" s="29" t="str">
        <x:v>BUSINESS</x:v>
      </x:c>
      <x:c r="C58" s="29" t="str">
        <x:v>BUS-005</x:v>
      </x:c>
      <x:c r="D58" s="29" t="str">
        <x:v>TENANT-A</x:v>
      </x:c>
      <x:c r="E58" s="29" t="str">
        <x:v>CUS-005</x:v>
      </x:c>
      <x:c r="F58" s="29" t="str"/>
      <x:c r="G58" s="29" t="str">
        <x:v>1001</x:v>
      </x:c>
      <x:c r="H58" s="29" t="str">
        <x:v>[联调0714]BUS-005</x:v>
      </x:c>
      <x:c r="I58" s="29" t="str"/>
      <x:c r="J58" s="29" t="str">
        <x:v>进行中</x:v>
      </x:c>
      <x:c r="K58" s="29" t="str">
        <x:v>QUOTE</x:v>
      </x:c>
      <x:c r="L58" s="38" t="n">
        <x:v>46037.041666666664</x:v>
      </x:c>
      <x:c r="M58" s="29" t="str">
        <x:v>2026-01</x:v>
      </x:c>
      <x:c r="N58" s="41" t="n">
        <x:v>800.08</x:v>
      </x:c>
      <x:c r="O58" s="29" t="str"/>
      <x:c r="P58" s="29" t="str">
        <x:v>CRM-IT-20260714-01</x:v>
      </x:c>
      <x:c r="Q58" s="29" t="str">
        <x:v>API</x:v>
      </x:c>
      <x:c r="R58" s="30" t="str">
        <x:v>漏斗与赢单率断言</x:v>
      </x:c>
    </x:row>
    <x:row r="59" ht="15" hidden="0" customHeight="1">
      <x:c r="A59" s="44" t="n">
        <x:v>58</x:v>
      </x:c>
      <x:c r="B59" s="29" t="str">
        <x:v>BUSINESS</x:v>
      </x:c>
      <x:c r="C59" s="29" t="str">
        <x:v>BUS-006</x:v>
      </x:c>
      <x:c r="D59" s="29" t="str">
        <x:v>TENANT-A</x:v>
      </x:c>
      <x:c r="E59" s="29" t="str">
        <x:v>CUS-006</x:v>
      </x:c>
      <x:c r="F59" s="29" t="str"/>
      <x:c r="G59" s="29" t="str">
        <x:v>1002</x:v>
      </x:c>
      <x:c r="H59" s="29" t="str">
        <x:v>[联调0714]BUS-006</x:v>
      </x:c>
      <x:c r="I59" s="29" t="str"/>
      <x:c r="J59" s="29" t="str">
        <x:v>输单</x:v>
      </x:c>
      <x:c r="K59" s="29" t="str">
        <x:v>QUOTE</x:v>
      </x:c>
      <x:c r="L59" s="38" t="n">
        <x:v>46037.041666666664</x:v>
      </x:c>
      <x:c r="M59" s="29" t="str">
        <x:v>2026-01</x:v>
      </x:c>
      <x:c r="N59" s="41" t="n">
        <x:v>600.06</x:v>
      </x:c>
      <x:c r="O59" s="29" t="str"/>
      <x:c r="P59" s="29" t="str">
        <x:v>CRM-IT-20260714-01</x:v>
      </x:c>
      <x:c r="Q59" s="29" t="str">
        <x:v>API</x:v>
      </x:c>
      <x:c r="R59" s="30" t="str">
        <x:v>漏斗与赢单率断言</x:v>
      </x:c>
    </x:row>
    <x:row r="60" ht="15" hidden="0" customHeight="1">
      <x:c r="A60" s="44" t="n">
        <x:v>59</x:v>
      </x:c>
      <x:c r="B60" s="29" t="str">
        <x:v>BUSINESS</x:v>
      </x:c>
      <x:c r="C60" s="29" t="str">
        <x:v>BUS-007</x:v>
      </x:c>
      <x:c r="D60" s="29" t="str">
        <x:v>TENANT-A</x:v>
      </x:c>
      <x:c r="E60" s="29" t="str">
        <x:v>CUS-010</x:v>
      </x:c>
      <x:c r="F60" s="29" t="str"/>
      <x:c r="G60" s="29" t="str">
        <x:v>1001</x:v>
      </x:c>
      <x:c r="H60" s="29" t="str">
        <x:v>[联调0714]BUS-007</x:v>
      </x:c>
      <x:c r="I60" s="29" t="str"/>
      <x:c r="J60" s="29" t="str">
        <x:v>赢单</x:v>
      </x:c>
      <x:c r="K60" s="29" t="str">
        <x:v>CONTRACT</x:v>
      </x:c>
      <x:c r="L60" s="38" t="n">
        <x:v>46037.041666666664</x:v>
      </x:c>
      <x:c r="M60" s="29" t="str">
        <x:v>2026-01</x:v>
      </x:c>
      <x:c r="N60" s="41" t="n">
        <x:v>700.07</x:v>
      </x:c>
      <x:c r="O60" s="29" t="str"/>
      <x:c r="P60" s="29" t="str">
        <x:v>CRM-IT-20260714-01</x:v>
      </x:c>
      <x:c r="Q60" s="29" t="str">
        <x:v>API</x:v>
      </x:c>
      <x:c r="R60" s="30" t="str">
        <x:v>漏斗与赢单率断言</x:v>
      </x:c>
    </x:row>
    <x:row r="61" ht="15" hidden="0" customHeight="1">
      <x:c r="A61" s="44" t="n">
        <x:v>60</x:v>
      </x:c>
      <x:c r="B61" s="29" t="str">
        <x:v>BUSINESS</x:v>
      </x:c>
      <x:c r="C61" s="29" t="str">
        <x:v>BUS-008</x:v>
      </x:c>
      <x:c r="D61" s="29" t="str">
        <x:v>TENANT-A</x:v>
      </x:c>
      <x:c r="E61" s="29" t="str">
        <x:v>CUS-011</x:v>
      </x:c>
      <x:c r="F61" s="29" t="str"/>
      <x:c r="G61" s="29" t="str">
        <x:v>1001</x:v>
      </x:c>
      <x:c r="H61" s="29" t="str">
        <x:v>[联调0714]BUS-008</x:v>
      </x:c>
      <x:c r="I61" s="29" t="str"/>
      <x:c r="J61" s="29" t="str">
        <x:v>进行中</x:v>
      </x:c>
      <x:c r="K61" s="29" t="str">
        <x:v>CONTACT</x:v>
      </x:c>
      <x:c r="L61" s="38" t="n">
        <x:v>46037.041666666664</x:v>
      </x:c>
      <x:c r="M61" s="29" t="str">
        <x:v>2026-01</x:v>
      </x:c>
      <x:c r="N61" s="41" t="n">
        <x:v>0</x:v>
      </x:c>
      <x:c r="O61" s="29" t="str"/>
      <x:c r="P61" s="29" t="str">
        <x:v>CRM-IT-20260714-01</x:v>
      </x:c>
      <x:c r="Q61" s="29" t="str">
        <x:v>API</x:v>
      </x:c>
      <x:c r="R61" s="30" t="str">
        <x:v>漏斗与赢单率断言</x:v>
      </x:c>
    </x:row>
    <x:row r="62" ht="15" hidden="0" customHeight="1">
      <x:c r="A62" s="44" t="n">
        <x:v>61</x:v>
      </x:c>
      <x:c r="B62" s="29" t="str">
        <x:v>BUSINESS_PRODUCT</x:v>
      </x:c>
      <x:c r="C62" s="29" t="str">
        <x:v>QUOTE-001</x:v>
      </x:c>
      <x:c r="D62" s="29" t="str">
        <x:v>TENANT-A</x:v>
      </x:c>
      <x:c r="E62" s="29" t="str">
        <x:v>BUS-001</x:v>
      </x:c>
      <x:c r="F62" s="29" t="str">
        <x:v>PROD-001</x:v>
      </x:c>
      <x:c r="G62" s="29" t="str">
        <x:v>1001</x:v>
      </x:c>
      <x:c r="H62" s="29" t="str">
        <x:v>商机产品报价</x:v>
      </x:c>
      <x:c r="I62" s="29" t="str"/>
      <x:c r="J62" s="29" t="str">
        <x:v>有效</x:v>
      </x:c>
      <x:c r="K62" s="29" t="str">
        <x:v>报价</x:v>
      </x:c>
      <x:c r="L62" s="38" t="n">
        <x:v>46038.041666666664</x:v>
      </x:c>
      <x:c r="M62" s="29" t="str">
        <x:v>2026-01</x:v>
      </x:c>
      <x:c r="N62" s="41" t="n">
        <x:v>100.01</x:v>
      </x:c>
      <x:c r="O62" s="29" t="n">
        <x:v>3</x:v>
      </x:c>
      <x:c r="P62" s="29" t="str">
        <x:v>CRM-IT-20260714-01</x:v>
      </x:c>
      <x:c r="Q62" s="29" t="str">
        <x:v>API</x:v>
      </x:c>
      <x:c r="R62" s="30" t="str">
        <x:v>产品与商机均存在</x:v>
      </x:c>
    </x:row>
    <x:row r="63" ht="15" hidden="0" customHeight="1">
      <x:c r="A63" s="44" t="n">
        <x:v>62</x:v>
      </x:c>
      <x:c r="B63" s="29" t="str">
        <x:v>BUSINESS_PRODUCT</x:v>
      </x:c>
      <x:c r="C63" s="29" t="str">
        <x:v>QUOTE-002</x:v>
      </x:c>
      <x:c r="D63" s="29" t="str">
        <x:v>TENANT-A</x:v>
      </x:c>
      <x:c r="E63" s="29" t="str">
        <x:v>BUS-001</x:v>
      </x:c>
      <x:c r="F63" s="29" t="str">
        <x:v>PROD-002</x:v>
      </x:c>
      <x:c r="G63" s="29" t="str">
        <x:v>1001</x:v>
      </x:c>
      <x:c r="H63" s="29" t="str">
        <x:v>商机产品报价</x:v>
      </x:c>
      <x:c r="I63" s="29" t="str"/>
      <x:c r="J63" s="29" t="str">
        <x:v>有效</x:v>
      </x:c>
      <x:c r="K63" s="29" t="str">
        <x:v>报价</x:v>
      </x:c>
      <x:c r="L63" s="38" t="n">
        <x:v>46038.041666666664</x:v>
      </x:c>
      <x:c r="M63" s="29" t="str">
        <x:v>2026-01</x:v>
      </x:c>
      <x:c r="N63" s="41" t="n">
        <x:v>300.03</x:v>
      </x:c>
      <x:c r="O63" s="29" t="n">
        <x:v>2</x:v>
      </x:c>
      <x:c r="P63" s="29" t="str">
        <x:v>CRM-IT-20260714-01</x:v>
      </x:c>
      <x:c r="Q63" s="29" t="str">
        <x:v>API</x:v>
      </x:c>
      <x:c r="R63" s="30" t="str">
        <x:v>产品与商机均存在</x:v>
      </x:c>
    </x:row>
    <x:row r="64" ht="15" hidden="0" customHeight="1">
      <x:c r="A64" s="44" t="n">
        <x:v>63</x:v>
      </x:c>
      <x:c r="B64" s="29" t="str">
        <x:v>BUSINESS_PRODUCT</x:v>
      </x:c>
      <x:c r="C64" s="29" t="str">
        <x:v>QUOTE-003</x:v>
      </x:c>
      <x:c r="D64" s="29" t="str">
        <x:v>TENANT-A</x:v>
      </x:c>
      <x:c r="E64" s="29" t="str">
        <x:v>BUS-002</x:v>
      </x:c>
      <x:c r="F64" s="29" t="str">
        <x:v>PROD-002</x:v>
      </x:c>
      <x:c r="G64" s="29" t="str">
        <x:v>1001</x:v>
      </x:c>
      <x:c r="H64" s="29" t="str">
        <x:v>商机产品报价</x:v>
      </x:c>
      <x:c r="I64" s="29" t="str"/>
      <x:c r="J64" s="29" t="str">
        <x:v>有效</x:v>
      </x:c>
      <x:c r="K64" s="29" t="str">
        <x:v>报价</x:v>
      </x:c>
      <x:c r="L64" s="38" t="n">
        <x:v>46038.041666666664</x:v>
      </x:c>
      <x:c r="M64" s="29" t="str">
        <x:v>2026-01</x:v>
      </x:c>
      <x:c r="N64" s="41" t="n">
        <x:v>300.03</x:v>
      </x:c>
      <x:c r="O64" s="29" t="n">
        <x:v>4</x:v>
      </x:c>
      <x:c r="P64" s="29" t="str">
        <x:v>CRM-IT-20260714-01</x:v>
      </x:c>
      <x:c r="Q64" s="29" t="str">
        <x:v>API</x:v>
      </x:c>
      <x:c r="R64" s="30" t="str">
        <x:v>产品与商机均存在</x:v>
      </x:c>
    </x:row>
    <x:row r="65" ht="15" hidden="0" customHeight="1">
      <x:c r="A65" s="44" t="n">
        <x:v>64</x:v>
      </x:c>
      <x:c r="B65" s="29" t="str">
        <x:v>BUSINESS_PRODUCT</x:v>
      </x:c>
      <x:c r="C65" s="29" t="str">
        <x:v>QUOTE-004</x:v>
      </x:c>
      <x:c r="D65" s="29" t="str">
        <x:v>TENANT-A</x:v>
      </x:c>
      <x:c r="E65" s="29" t="str">
        <x:v>BUS-003</x:v>
      </x:c>
      <x:c r="F65" s="29" t="str">
        <x:v>PROD-003</x:v>
      </x:c>
      <x:c r="G65" s="29" t="str">
        <x:v>1001</x:v>
      </x:c>
      <x:c r="H65" s="29" t="str">
        <x:v>商机产品报价</x:v>
      </x:c>
      <x:c r="I65" s="29" t="str"/>
      <x:c r="J65" s="29" t="str">
        <x:v>有效</x:v>
      </x:c>
      <x:c r="K65" s="29" t="str">
        <x:v>报价</x:v>
      </x:c>
      <x:c r="L65" s="38" t="n">
        <x:v>46038.041666666664</x:v>
      </x:c>
      <x:c r="M65" s="29" t="str">
        <x:v>2026-01</x:v>
      </x:c>
      <x:c r="N65" s="41" t="n">
        <x:v>500.05</x:v>
      </x:c>
      <x:c r="O65" s="29" t="n">
        <x:v>1</x:v>
      </x:c>
      <x:c r="P65" s="29" t="str">
        <x:v>CRM-IT-20260714-01</x:v>
      </x:c>
      <x:c r="Q65" s="29" t="str">
        <x:v>API</x:v>
      </x:c>
      <x:c r="R65" s="30" t="str">
        <x:v>产品与商机均存在</x:v>
      </x:c>
    </x:row>
    <x:row r="66" ht="15" hidden="0" customHeight="1">
      <x:c r="A66" s="44" t="n">
        <x:v>65</x:v>
      </x:c>
      <x:c r="B66" s="29" t="str">
        <x:v>CONTRACT</x:v>
      </x:c>
      <x:c r="C66" s="29" t="str">
        <x:v>CON-001</x:v>
      </x:c>
      <x:c r="D66" s="29" t="str">
        <x:v>TENANT-A</x:v>
      </x:c>
      <x:c r="E66" s="29" t="str">
        <x:v>CUS-001</x:v>
      </x:c>
      <x:c r="F66" s="29" t="str">
        <x:v>BUS-001</x:v>
      </x:c>
      <x:c r="G66" s="29" t="str">
        <x:v>1001</x:v>
      </x:c>
      <x:c r="H66" s="29" t="str">
        <x:v>[联调0714]合同CON-001</x:v>
      </x:c>
      <x:c r="I66" s="29" t="str">
        <x:v>CON-001</x:v>
      </x:c>
      <x:c r="J66" s="29" t="str">
        <x:v>审批通过</x:v>
      </x:c>
      <x:c r="K66" s="29" t="str">
        <x:v>合同</x:v>
      </x:c>
      <x:c r="L66" s="38" t="n">
        <x:v>46040.041666666664</x:v>
      </x:c>
      <x:c r="M66" s="29" t="str">
        <x:v>2026-01</x:v>
      </x:c>
      <x:c r="N66" s="41" t="n">
        <x:v>1000.1</x:v>
      </x:c>
      <x:c r="O66" s="29" t="str"/>
      <x:c r="P66" s="29" t="str">
        <x:v>CRM-IT-20260714-01</x:v>
      </x:c>
      <x:c r="Q66" s="29" t="str">
        <x:v>API</x:v>
      </x:c>
      <x:c r="R66" s="30" t="str">
        <x:v>审批通过才进入统计</x:v>
      </x:c>
    </x:row>
    <x:row r="67" ht="15" hidden="0" customHeight="1">
      <x:c r="A67" s="44" t="n">
        <x:v>66</x:v>
      </x:c>
      <x:c r="B67" s="29" t="str">
        <x:v>CONTRACT</x:v>
      </x:c>
      <x:c r="C67" s="29" t="str">
        <x:v>CON-002</x:v>
      </x:c>
      <x:c r="D67" s="29" t="str">
        <x:v>TENANT-A</x:v>
      </x:c>
      <x:c r="E67" s="29" t="str">
        <x:v>CUS-002</x:v>
      </x:c>
      <x:c r="F67" s="29" t="str">
        <x:v>BUS-002</x:v>
      </x:c>
      <x:c r="G67" s="29" t="str">
        <x:v>1001</x:v>
      </x:c>
      <x:c r="H67" s="29" t="str">
        <x:v>[联调0714]合同CON-002</x:v>
      </x:c>
      <x:c r="I67" s="29" t="str">
        <x:v>CON-002</x:v>
      </x:c>
      <x:c r="J67" s="29" t="str">
        <x:v>审批通过</x:v>
      </x:c>
      <x:c r="K67" s="29" t="str">
        <x:v>合同</x:v>
      </x:c>
      <x:c r="L67" s="38" t="n">
        <x:v>46042.041666666664</x:v>
      </x:c>
      <x:c r="M67" s="29" t="str">
        <x:v>2026-01</x:v>
      </x:c>
      <x:c r="N67" s="41" t="n">
        <x:v>2000.2</x:v>
      </x:c>
      <x:c r="O67" s="29" t="str"/>
      <x:c r="P67" s="29" t="str">
        <x:v>CRM-IT-20260714-01</x:v>
      </x:c>
      <x:c r="Q67" s="29" t="str">
        <x:v>API</x:v>
      </x:c>
      <x:c r="R67" s="30" t="str">
        <x:v>审批通过才进入统计</x:v>
      </x:c>
    </x:row>
    <x:row r="68" ht="15" hidden="0" customHeight="1">
      <x:c r="A68" s="44" t="n">
        <x:v>67</x:v>
      </x:c>
      <x:c r="B68" s="29" t="str">
        <x:v>CONTRACT</x:v>
      </x:c>
      <x:c r="C68" s="29" t="str">
        <x:v>CON-003</x:v>
      </x:c>
      <x:c r="D68" s="29" t="str">
        <x:v>TENANT-A</x:v>
      </x:c>
      <x:c r="E68" s="29" t="str">
        <x:v>CUS-003</x:v>
      </x:c>
      <x:c r="F68" s="29" t="str">
        <x:v>BUS-003</x:v>
      </x:c>
      <x:c r="G68" s="29" t="str">
        <x:v>1002</x:v>
      </x:c>
      <x:c r="H68" s="29" t="str">
        <x:v>[联调0714]合同CON-003</x:v>
      </x:c>
      <x:c r="I68" s="29" t="str">
        <x:v>CON-003</x:v>
      </x:c>
      <x:c r="J68" s="29" t="str">
        <x:v>审批中</x:v>
      </x:c>
      <x:c r="K68" s="29" t="str">
        <x:v>合同</x:v>
      </x:c>
      <x:c r="L68" s="38" t="n">
        <x:v>46043.041666666664</x:v>
      </x:c>
      <x:c r="M68" s="29" t="str">
        <x:v>2026-01</x:v>
      </x:c>
      <x:c r="N68" s="41" t="n">
        <x:v>500.05</x:v>
      </x:c>
      <x:c r="O68" s="29" t="str"/>
      <x:c r="P68" s="29" t="str">
        <x:v>CRM-IT-20260714-01</x:v>
      </x:c>
      <x:c r="Q68" s="29" t="str">
        <x:v>API</x:v>
      </x:c>
      <x:c r="R68" s="30" t="str">
        <x:v>审批通过才进入统计</x:v>
      </x:c>
    </x:row>
    <x:row r="69" ht="15" hidden="0" customHeight="1">
      <x:c r="A69" s="44" t="n">
        <x:v>68</x:v>
      </x:c>
      <x:c r="B69" s="29" t="str">
        <x:v>CONTRACT</x:v>
      </x:c>
      <x:c r="C69" s="29" t="str">
        <x:v>CON-004</x:v>
      </x:c>
      <x:c r="D69" s="29" t="str">
        <x:v>TENANT-A</x:v>
      </x:c>
      <x:c r="E69" s="29" t="str">
        <x:v>CUS-006</x:v>
      </x:c>
      <x:c r="F69" s="29" t="str">
        <x:v>BUS-006</x:v>
      </x:c>
      <x:c r="G69" s="29" t="str">
        <x:v>1002</x:v>
      </x:c>
      <x:c r="H69" s="29" t="str">
        <x:v>[联调0714]合同CON-004</x:v>
      </x:c>
      <x:c r="I69" s="29" t="str">
        <x:v>CON-004</x:v>
      </x:c>
      <x:c r="J69" s="29" t="str">
        <x:v>审批拒绝</x:v>
      </x:c>
      <x:c r="K69" s="29" t="str">
        <x:v>合同</x:v>
      </x:c>
      <x:c r="L69" s="38" t="n">
        <x:v>46044.041666666664</x:v>
      </x:c>
      <x:c r="M69" s="29" t="str">
        <x:v>2026-01</x:v>
      </x:c>
      <x:c r="N69" s="41" t="n">
        <x:v>600.06</x:v>
      </x:c>
      <x:c r="O69" s="29" t="str"/>
      <x:c r="P69" s="29" t="str">
        <x:v>CRM-IT-20260714-01</x:v>
      </x:c>
      <x:c r="Q69" s="29" t="str">
        <x:v>API</x:v>
      </x:c>
      <x:c r="R69" s="30" t="str">
        <x:v>审批通过才进入统计</x:v>
      </x:c>
    </x:row>
    <x:row r="70" ht="15" hidden="0" customHeight="1">
      <x:c r="A70" s="44" t="n">
        <x:v>69</x:v>
      </x:c>
      <x:c r="B70" s="29" t="str">
        <x:v>CONTRACT</x:v>
      </x:c>
      <x:c r="C70" s="29" t="str">
        <x:v>CON-005</x:v>
      </x:c>
      <x:c r="D70" s="29" t="str">
        <x:v>TENANT-A</x:v>
      </x:c>
      <x:c r="E70" s="29" t="str">
        <x:v>CUS-010</x:v>
      </x:c>
      <x:c r="F70" s="29" t="str">
        <x:v>BUS-007</x:v>
      </x:c>
      <x:c r="G70" s="29" t="str">
        <x:v>1001</x:v>
      </x:c>
      <x:c r="H70" s="29" t="str">
        <x:v>[联调0714]合同CON-005</x:v>
      </x:c>
      <x:c r="I70" s="29" t="str">
        <x:v>CON-005</x:v>
      </x:c>
      <x:c r="J70" s="29" t="str">
        <x:v>审批通过</x:v>
      </x:c>
      <x:c r="K70" s="29" t="str">
        <x:v>合同</x:v>
      </x:c>
      <x:c r="L70" s="38" t="n">
        <x:v>46011.041666666664</x:v>
      </x:c>
      <x:c r="M70" s="29" t="str">
        <x:v>2025-12</x:v>
      </x:c>
      <x:c r="N70" s="41" t="n">
        <x:v>700.07</x:v>
      </x:c>
      <x:c r="O70" s="29" t="str"/>
      <x:c r="P70" s="29" t="str">
        <x:v>CRM-IT-20260714-01</x:v>
      </x:c>
      <x:c r="Q70" s="29" t="str">
        <x:v>API</x:v>
      </x:c>
      <x:c r="R70" s="30" t="str">
        <x:v>审批通过才进入统计</x:v>
      </x:c>
    </x:row>
    <x:row r="71" ht="15" hidden="0" customHeight="1">
      <x:c r="A71" s="44" t="n">
        <x:v>70</x:v>
      </x:c>
      <x:c r="B71" s="29" t="str">
        <x:v>CONTRACT</x:v>
      </x:c>
      <x:c r="C71" s="29" t="str">
        <x:v>CON-006</x:v>
      </x:c>
      <x:c r="D71" s="29" t="str">
        <x:v>TENANT-A</x:v>
      </x:c>
      <x:c r="E71" s="29" t="str">
        <x:v>CUS-011</x:v>
      </x:c>
      <x:c r="F71" s="29" t="str">
        <x:v>BUS-008</x:v>
      </x:c>
      <x:c r="G71" s="29" t="str">
        <x:v>1001</x:v>
      </x:c>
      <x:c r="H71" s="29" t="str">
        <x:v>[联调0714]合同CON-006</x:v>
      </x:c>
      <x:c r="I71" s="29" t="str">
        <x:v>CON-006</x:v>
      </x:c>
      <x:c r="J71" s="29" t="str">
        <x:v>审批通过</x:v>
      </x:c>
      <x:c r="K71" s="29" t="str">
        <x:v>合同</x:v>
      </x:c>
      <x:c r="L71" s="38" t="n">
        <x:v>46054.041666666664</x:v>
      </x:c>
      <x:c r="M71" s="29" t="str">
        <x:v>2026-02</x:v>
      </x:c>
      <x:c r="N71" s="41" t="n">
        <x:v>0</x:v>
      </x:c>
      <x:c r="O71" s="29" t="str"/>
      <x:c r="P71" s="29" t="str">
        <x:v>CRM-IT-20260714-01</x:v>
      </x:c>
      <x:c r="Q71" s="29" t="str">
        <x:v>API</x:v>
      </x:c>
      <x:c r="R71" s="30" t="str">
        <x:v>审批通过才进入统计</x:v>
      </x:c>
    </x:row>
    <x:row r="72" ht="15" hidden="0" customHeight="1">
      <x:c r="A72" s="44" t="n">
        <x:v>71</x:v>
      </x:c>
      <x:c r="B72" s="29" t="str">
        <x:v>CONTRACT_PRODUCT</x:v>
      </x:c>
      <x:c r="C72" s="29" t="str">
        <x:v>CP-001</x:v>
      </x:c>
      <x:c r="D72" s="29" t="str">
        <x:v>TENANT-A</x:v>
      </x:c>
      <x:c r="E72" s="29" t="str">
        <x:v>CON-001</x:v>
      </x:c>
      <x:c r="F72" s="29" t="str">
        <x:v>PROD-001</x:v>
      </x:c>
      <x:c r="G72" s="29" t="str">
        <x:v>1001</x:v>
      </x:c>
      <x:c r="H72" s="29" t="str">
        <x:v>合同产品</x:v>
      </x:c>
      <x:c r="I72" s="29" t="str"/>
      <x:c r="J72" s="29" t="str">
        <x:v>有效</x:v>
      </x:c>
      <x:c r="K72" s="29" t="str">
        <x:v>商品明细</x:v>
      </x:c>
      <x:c r="L72" s="38" t="n">
        <x:v>46042.041666666664</x:v>
      </x:c>
      <x:c r="M72" s="29" t="str">
        <x:v>2026-01</x:v>
      </x:c>
      <x:c r="N72" s="41" t="n">
        <x:v>100.01</x:v>
      </x:c>
      <x:c r="O72" s="29" t="n">
        <x:v>3</x:v>
      </x:c>
      <x:c r="P72" s="29" t="str">
        <x:v>CRM-IT-20260714-01</x:v>
      </x:c>
      <x:c r="Q72" s="29" t="str">
        <x:v>API</x:v>
      </x:c>
      <x:c r="R72" s="30" t="str">
        <x:v>销量合计9</x:v>
      </x:c>
    </x:row>
    <x:row r="73" ht="15" hidden="0" customHeight="1">
      <x:c r="A73" s="44" t="n">
        <x:v>72</x:v>
      </x:c>
      <x:c r="B73" s="29" t="str">
        <x:v>CONTRACT_PRODUCT</x:v>
      </x:c>
      <x:c r="C73" s="29" t="str">
        <x:v>CP-002</x:v>
      </x:c>
      <x:c r="D73" s="29" t="str">
        <x:v>TENANT-A</x:v>
      </x:c>
      <x:c r="E73" s="29" t="str">
        <x:v>CON-001</x:v>
      </x:c>
      <x:c r="F73" s="29" t="str">
        <x:v>PROD-002</x:v>
      </x:c>
      <x:c r="G73" s="29" t="str">
        <x:v>1001</x:v>
      </x:c>
      <x:c r="H73" s="29" t="str">
        <x:v>合同产品</x:v>
      </x:c>
      <x:c r="I73" s="29" t="str"/>
      <x:c r="J73" s="29" t="str">
        <x:v>有效</x:v>
      </x:c>
      <x:c r="K73" s="29" t="str">
        <x:v>商品明细</x:v>
      </x:c>
      <x:c r="L73" s="38" t="n">
        <x:v>46042.041666666664</x:v>
      </x:c>
      <x:c r="M73" s="29" t="str">
        <x:v>2026-01</x:v>
      </x:c>
      <x:c r="N73" s="41" t="n">
        <x:v>300.03</x:v>
      </x:c>
      <x:c r="O73" s="29" t="n">
        <x:v>2</x:v>
      </x:c>
      <x:c r="P73" s="29" t="str">
        <x:v>CRM-IT-20260714-01</x:v>
      </x:c>
      <x:c r="Q73" s="29" t="str">
        <x:v>API</x:v>
      </x:c>
      <x:c r="R73" s="30" t="str">
        <x:v>销量合计9</x:v>
      </x:c>
    </x:row>
    <x:row r="74" ht="15" hidden="0" customHeight="1">
      <x:c r="A74" s="44" t="n">
        <x:v>73</x:v>
      </x:c>
      <x:c r="B74" s="29" t="str">
        <x:v>CONTRACT_PRODUCT</x:v>
      </x:c>
      <x:c r="C74" s="29" t="str">
        <x:v>CP-003</x:v>
      </x:c>
      <x:c r="D74" s="29" t="str">
        <x:v>TENANT-A</x:v>
      </x:c>
      <x:c r="E74" s="29" t="str">
        <x:v>CON-002</x:v>
      </x:c>
      <x:c r="F74" s="29" t="str">
        <x:v>PROD-002</x:v>
      </x:c>
      <x:c r="G74" s="29" t="str">
        <x:v>1001</x:v>
      </x:c>
      <x:c r="H74" s="29" t="str">
        <x:v>合同产品</x:v>
      </x:c>
      <x:c r="I74" s="29" t="str"/>
      <x:c r="J74" s="29" t="str">
        <x:v>有效</x:v>
      </x:c>
      <x:c r="K74" s="29" t="str">
        <x:v>商品明细</x:v>
      </x:c>
      <x:c r="L74" s="38" t="n">
        <x:v>46042.041666666664</x:v>
      </x:c>
      <x:c r="M74" s="29" t="str">
        <x:v>2026-01</x:v>
      </x:c>
      <x:c r="N74" s="41" t="n">
        <x:v>300.03</x:v>
      </x:c>
      <x:c r="O74" s="29" t="n">
        <x:v>4</x:v>
      </x:c>
      <x:c r="P74" s="29" t="str">
        <x:v>CRM-IT-20260714-01</x:v>
      </x:c>
      <x:c r="Q74" s="29" t="str">
        <x:v>API</x:v>
      </x:c>
      <x:c r="R74" s="30" t="str">
        <x:v>销量合计9</x:v>
      </x:c>
    </x:row>
    <x:row r="75" ht="15" hidden="0" customHeight="1">
      <x:c r="A75" s="44" t="n">
        <x:v>74</x:v>
      </x:c>
      <x:c r="B75" s="29" t="str">
        <x:v>BPM_EVENT</x:v>
      </x:c>
      <x:c r="C75" s="29" t="str">
        <x:v>BPM-001</x:v>
      </x:c>
      <x:c r="D75" s="29" t="str">
        <x:v>TENANT-A</x:v>
      </x:c>
      <x:c r="E75" s="29" t="str">
        <x:v>CON-001</x:v>
      </x:c>
      <x:c r="F75" s="29" t="str"/>
      <x:c r="G75" s="29" t="str">
        <x:v>1001</x:v>
      </x:c>
      <x:c r="H75" s="29" t="str">
        <x:v>合同审批事件</x:v>
      </x:c>
      <x:c r="I75" s="29" t="str"/>
      <x:c r="J75" s="29" t="str">
        <x:v>提交</x:v>
      </x:c>
      <x:c r="K75" s="29" t="str">
        <x:v>提交</x:v>
      </x:c>
      <x:c r="L75" s="38" t="n">
        <x:v>46044.083333333336</x:v>
      </x:c>
      <x:c r="M75" s="29" t="str">
        <x:v>2026-01</x:v>
      </x:c>
      <x:c r="N75" s="41" t="str"/>
      <x:c r="O75" s="29" t="str"/>
      <x:c r="P75" s="29" t="str">
        <x:v>CRM-IT-20260714-01</x:v>
      </x:c>
      <x:c r="Q75" s="29" t="str">
        <x:v>API</x:v>
      </x:c>
      <x:c r="R75" s="30" t="str">
        <x:v>合同状态同步</x:v>
      </x:c>
    </x:row>
    <x:row r="76" ht="15" hidden="0" customHeight="1">
      <x:c r="A76" s="44" t="n">
        <x:v>75</x:v>
      </x:c>
      <x:c r="B76" s="29" t="str">
        <x:v>BPM_EVENT</x:v>
      </x:c>
      <x:c r="C76" s="29" t="str">
        <x:v>BPM-002</x:v>
      </x:c>
      <x:c r="D76" s="29" t="str">
        <x:v>TENANT-A</x:v>
      </x:c>
      <x:c r="E76" s="29" t="str">
        <x:v>CON-001</x:v>
      </x:c>
      <x:c r="F76" s="29" t="str"/>
      <x:c r="G76" s="29" t="str">
        <x:v>1003</x:v>
      </x:c>
      <x:c r="H76" s="29" t="str">
        <x:v>合同审批事件</x:v>
      </x:c>
      <x:c r="I76" s="29" t="str"/>
      <x:c r="J76" s="29" t="str">
        <x:v>审批通过</x:v>
      </x:c>
      <x:c r="K76" s="29" t="str">
        <x:v>审批通过</x:v>
      </x:c>
      <x:c r="L76" s="38" t="n">
        <x:v>46044.083333333336</x:v>
      </x:c>
      <x:c r="M76" s="29" t="str">
        <x:v>2026-01</x:v>
      </x:c>
      <x:c r="N76" s="41" t="str"/>
      <x:c r="O76" s="29" t="str"/>
      <x:c r="P76" s="29" t="str">
        <x:v>CRM-IT-20260714-01</x:v>
      </x:c>
      <x:c r="Q76" s="29" t="str">
        <x:v>API</x:v>
      </x:c>
      <x:c r="R76" s="30" t="str">
        <x:v>合同状态同步</x:v>
      </x:c>
    </x:row>
    <x:row r="77" ht="15" hidden="0" customHeight="1">
      <x:c r="A77" s="44" t="n">
        <x:v>76</x:v>
      </x:c>
      <x:c r="B77" s="29" t="str">
        <x:v>BPM_EVENT</x:v>
      </x:c>
      <x:c r="C77" s="29" t="str">
        <x:v>BPM-003</x:v>
      </x:c>
      <x:c r="D77" s="29" t="str">
        <x:v>TENANT-A</x:v>
      </x:c>
      <x:c r="E77" s="29" t="str">
        <x:v>CON-002</x:v>
      </x:c>
      <x:c r="F77" s="29" t="str"/>
      <x:c r="G77" s="29" t="str">
        <x:v>1001</x:v>
      </x:c>
      <x:c r="H77" s="29" t="str">
        <x:v>合同审批事件</x:v>
      </x:c>
      <x:c r="I77" s="29" t="str"/>
      <x:c r="J77" s="29" t="str">
        <x:v>提交</x:v>
      </x:c>
      <x:c r="K77" s="29" t="str">
        <x:v>提交</x:v>
      </x:c>
      <x:c r="L77" s="38" t="n">
        <x:v>46044.083333333336</x:v>
      </x:c>
      <x:c r="M77" s="29" t="str">
        <x:v>2026-01</x:v>
      </x:c>
      <x:c r="N77" s="41" t="str"/>
      <x:c r="O77" s="29" t="str"/>
      <x:c r="P77" s="29" t="str">
        <x:v>CRM-IT-20260714-01</x:v>
      </x:c>
      <x:c r="Q77" s="29" t="str">
        <x:v>API</x:v>
      </x:c>
      <x:c r="R77" s="30" t="str">
        <x:v>合同状态同步</x:v>
      </x:c>
    </x:row>
    <x:row r="78" ht="15" hidden="0" customHeight="1">
      <x:c r="A78" s="44" t="n">
        <x:v>77</x:v>
      </x:c>
      <x:c r="B78" s="29" t="str">
        <x:v>BPM_EVENT</x:v>
      </x:c>
      <x:c r="C78" s="29" t="str">
        <x:v>BPM-004</x:v>
      </x:c>
      <x:c r="D78" s="29" t="str">
        <x:v>TENANT-A</x:v>
      </x:c>
      <x:c r="E78" s="29" t="str">
        <x:v>CON-002</x:v>
      </x:c>
      <x:c r="F78" s="29" t="str"/>
      <x:c r="G78" s="29" t="str">
        <x:v>1003</x:v>
      </x:c>
      <x:c r="H78" s="29" t="str">
        <x:v>合同审批事件</x:v>
      </x:c>
      <x:c r="I78" s="29" t="str"/>
      <x:c r="J78" s="29" t="str">
        <x:v>审批通过</x:v>
      </x:c>
      <x:c r="K78" s="29" t="str">
        <x:v>审批通过</x:v>
      </x:c>
      <x:c r="L78" s="38" t="n">
        <x:v>46044.083333333336</x:v>
      </x:c>
      <x:c r="M78" s="29" t="str">
        <x:v>2026-01</x:v>
      </x:c>
      <x:c r="N78" s="41" t="str"/>
      <x:c r="O78" s="29" t="str"/>
      <x:c r="P78" s="29" t="str">
        <x:v>CRM-IT-20260714-01</x:v>
      </x:c>
      <x:c r="Q78" s="29" t="str">
        <x:v>API</x:v>
      </x:c>
      <x:c r="R78" s="30" t="str">
        <x:v>合同状态同步</x:v>
      </x:c>
    </x:row>
    <x:row r="79" ht="15" hidden="0" customHeight="1">
      <x:c r="A79" s="44" t="n">
        <x:v>78</x:v>
      </x:c>
      <x:c r="B79" s="29" t="str">
        <x:v>BPM_EVENT</x:v>
      </x:c>
      <x:c r="C79" s="29" t="str">
        <x:v>BPM-005</x:v>
      </x:c>
      <x:c r="D79" s="29" t="str">
        <x:v>TENANT-A</x:v>
      </x:c>
      <x:c r="E79" s="29" t="str">
        <x:v>CON-003</x:v>
      </x:c>
      <x:c r="F79" s="29" t="str"/>
      <x:c r="G79" s="29" t="str">
        <x:v>1002</x:v>
      </x:c>
      <x:c r="H79" s="29" t="str">
        <x:v>合同审批事件</x:v>
      </x:c>
      <x:c r="I79" s="29" t="str"/>
      <x:c r="J79" s="29" t="str">
        <x:v>提交</x:v>
      </x:c>
      <x:c r="K79" s="29" t="str">
        <x:v>提交</x:v>
      </x:c>
      <x:c r="L79" s="38" t="n">
        <x:v>46044.083333333336</x:v>
      </x:c>
      <x:c r="M79" s="29" t="str">
        <x:v>2026-01</x:v>
      </x:c>
      <x:c r="N79" s="41" t="str"/>
      <x:c r="O79" s="29" t="str"/>
      <x:c r="P79" s="29" t="str">
        <x:v>CRM-IT-20260714-01</x:v>
      </x:c>
      <x:c r="Q79" s="29" t="str">
        <x:v>API</x:v>
      </x:c>
      <x:c r="R79" s="30" t="str">
        <x:v>合同状态同步</x:v>
      </x:c>
    </x:row>
    <x:row r="80" ht="15" hidden="0" customHeight="1">
      <x:c r="A80" s="44" t="n">
        <x:v>79</x:v>
      </x:c>
      <x:c r="B80" s="29" t="str">
        <x:v>BPM_EVENT</x:v>
      </x:c>
      <x:c r="C80" s="29" t="str">
        <x:v>BPM-006</x:v>
      </x:c>
      <x:c r="D80" s="29" t="str">
        <x:v>TENANT-A</x:v>
      </x:c>
      <x:c r="E80" s="29" t="str">
        <x:v>CON-004</x:v>
      </x:c>
      <x:c r="F80" s="29" t="str"/>
      <x:c r="G80" s="29" t="str">
        <x:v>1003</x:v>
      </x:c>
      <x:c r="H80" s="29" t="str">
        <x:v>合同审批事件</x:v>
      </x:c>
      <x:c r="I80" s="29" t="str"/>
      <x:c r="J80" s="29" t="str">
        <x:v>审批拒绝</x:v>
      </x:c>
      <x:c r="K80" s="29" t="str">
        <x:v>审批拒绝</x:v>
      </x:c>
      <x:c r="L80" s="38" t="n">
        <x:v>46044.083333333336</x:v>
      </x:c>
      <x:c r="M80" s="29" t="str">
        <x:v>2026-01</x:v>
      </x:c>
      <x:c r="N80" s="41" t="str"/>
      <x:c r="O80" s="29" t="str"/>
      <x:c r="P80" s="29" t="str">
        <x:v>CRM-IT-20260714-01</x:v>
      </x:c>
      <x:c r="Q80" s="29" t="str">
        <x:v>API</x:v>
      </x:c>
      <x:c r="R80" s="30" t="str">
        <x:v>合同状态同步</x:v>
      </x:c>
    </x:row>
    <x:row r="81" ht="15" hidden="0" customHeight="1">
      <x:c r="A81" s="44" t="n">
        <x:v>80</x:v>
      </x:c>
      <x:c r="B81" s="29" t="str">
        <x:v>OA_TODO</x:v>
      </x:c>
      <x:c r="C81" s="29" t="str">
        <x:v>TODO-001</x:v>
      </x:c>
      <x:c r="D81" s="29" t="str">
        <x:v>TENANT-A</x:v>
      </x:c>
      <x:c r="E81" s="29" t="str">
        <x:v>BPM-001</x:v>
      </x:c>
      <x:c r="F81" s="29" t="str"/>
      <x:c r="G81" s="29" t="str">
        <x:v>1003</x:v>
      </x:c>
      <x:c r="H81" s="29" t="str">
        <x:v>合同审批待办</x:v>
      </x:c>
      <x:c r="I81" s="29" t="str"/>
      <x:c r="J81" s="29" t="str">
        <x:v>已完成</x:v>
      </x:c>
      <x:c r="K81" s="29" t="str">
        <x:v>审批待办</x:v>
      </x:c>
      <x:c r="L81" s="38" t="n">
        <x:v>46044.086805555555</x:v>
      </x:c>
      <x:c r="M81" s="29" t="str">
        <x:v>2026-01</x:v>
      </x:c>
      <x:c r="N81" s="41" t="str"/>
      <x:c r="O81" s="29" t="str"/>
      <x:c r="P81" s="29" t="str">
        <x:v>CRM-IT-20260714-01</x:v>
      </x:c>
      <x:c r="Q81" s="29" t="str">
        <x:v>API</x:v>
      </x:c>
      <x:c r="R81" s="30" t="str">
        <x:v>OA状态与BPM一致</x:v>
      </x:c>
    </x:row>
    <x:row r="82" ht="15" hidden="0" customHeight="1">
      <x:c r="A82" s="44" t="n">
        <x:v>81</x:v>
      </x:c>
      <x:c r="B82" s="29" t="str">
        <x:v>OA_TODO</x:v>
      </x:c>
      <x:c r="C82" s="29" t="str">
        <x:v>TODO-002</x:v>
      </x:c>
      <x:c r="D82" s="29" t="str">
        <x:v>TENANT-A</x:v>
      </x:c>
      <x:c r="E82" s="29" t="str">
        <x:v>BPM-003</x:v>
      </x:c>
      <x:c r="F82" s="29" t="str"/>
      <x:c r="G82" s="29" t="str">
        <x:v>1003</x:v>
      </x:c>
      <x:c r="H82" s="29" t="str">
        <x:v>合同审批待办</x:v>
      </x:c>
      <x:c r="I82" s="29" t="str"/>
      <x:c r="J82" s="29" t="str">
        <x:v>已完成</x:v>
      </x:c>
      <x:c r="K82" s="29" t="str">
        <x:v>审批待办</x:v>
      </x:c>
      <x:c r="L82" s="38" t="n">
        <x:v>46044.086805555555</x:v>
      </x:c>
      <x:c r="M82" s="29" t="str">
        <x:v>2026-01</x:v>
      </x:c>
      <x:c r="N82" s="41" t="str"/>
      <x:c r="O82" s="29" t="str"/>
      <x:c r="P82" s="29" t="str">
        <x:v>CRM-IT-20260714-01</x:v>
      </x:c>
      <x:c r="Q82" s="29" t="str">
        <x:v>API</x:v>
      </x:c>
      <x:c r="R82" s="30" t="str">
        <x:v>OA状态与BPM一致</x:v>
      </x:c>
    </x:row>
    <x:row r="83" ht="15" hidden="0" customHeight="1">
      <x:c r="A83" s="44" t="n">
        <x:v>82</x:v>
      </x:c>
      <x:c r="B83" s="29" t="str">
        <x:v>OA_TODO</x:v>
      </x:c>
      <x:c r="C83" s="29" t="str">
        <x:v>TODO-003</x:v>
      </x:c>
      <x:c r="D83" s="29" t="str">
        <x:v>TENANT-A</x:v>
      </x:c>
      <x:c r="E83" s="29" t="str">
        <x:v>BPM-005</x:v>
      </x:c>
      <x:c r="F83" s="29" t="str"/>
      <x:c r="G83" s="29" t="str">
        <x:v>1003</x:v>
      </x:c>
      <x:c r="H83" s="29" t="str">
        <x:v>合同审批待办</x:v>
      </x:c>
      <x:c r="I83" s="29" t="str"/>
      <x:c r="J83" s="29" t="str">
        <x:v>待处理</x:v>
      </x:c>
      <x:c r="K83" s="29" t="str">
        <x:v>审批待办</x:v>
      </x:c>
      <x:c r="L83" s="38" t="n">
        <x:v>46044.086805555555</x:v>
      </x:c>
      <x:c r="M83" s="29" t="str">
        <x:v>2026-01</x:v>
      </x:c>
      <x:c r="N83" s="41" t="str"/>
      <x:c r="O83" s="29" t="str"/>
      <x:c r="P83" s="29" t="str">
        <x:v>CRM-IT-20260714-01</x:v>
      </x:c>
      <x:c r="Q83" s="29" t="str">
        <x:v>API</x:v>
      </x:c>
      <x:c r="R83" s="30" t="str">
        <x:v>OA状态与BPM一致</x:v>
      </x:c>
    </x:row>
    <x:row r="84" ht="15" hidden="0" customHeight="1">
      <x:c r="A84" s="44" t="n">
        <x:v>83</x:v>
      </x:c>
      <x:c r="B84" s="29" t="str">
        <x:v>OA_TODO</x:v>
      </x:c>
      <x:c r="C84" s="29" t="str">
        <x:v>TODO-004</x:v>
      </x:c>
      <x:c r="D84" s="29" t="str">
        <x:v>TENANT-A</x:v>
      </x:c>
      <x:c r="E84" s="29" t="str">
        <x:v>BPM-006</x:v>
      </x:c>
      <x:c r="F84" s="29" t="str"/>
      <x:c r="G84" s="29" t="str">
        <x:v>1003</x:v>
      </x:c>
      <x:c r="H84" s="29" t="str">
        <x:v>合同审批待办</x:v>
      </x:c>
      <x:c r="I84" s="29" t="str"/>
      <x:c r="J84" s="29" t="str">
        <x:v>已完成</x:v>
      </x:c>
      <x:c r="K84" s="29" t="str">
        <x:v>审批待办</x:v>
      </x:c>
      <x:c r="L84" s="38" t="n">
        <x:v>46044.086805555555</x:v>
      </x:c>
      <x:c r="M84" s="29" t="str">
        <x:v>2026-01</x:v>
      </x:c>
      <x:c r="N84" s="41" t="str"/>
      <x:c r="O84" s="29" t="str"/>
      <x:c r="P84" s="29" t="str">
        <x:v>CRM-IT-20260714-01</x:v>
      </x:c>
      <x:c r="Q84" s="29" t="str">
        <x:v>API</x:v>
      </x:c>
      <x:c r="R84" s="30" t="str">
        <x:v>OA状态与BPM一致</x:v>
      </x:c>
    </x:row>
    <x:row r="85" ht="15" hidden="0" customHeight="1">
      <x:c r="A85" s="44" t="n">
        <x:v>84</x:v>
      </x:c>
      <x:c r="B85" s="29" t="str">
        <x:v>RECEIVABLE_PLAN</x:v>
      </x:c>
      <x:c r="C85" s="29" t="str">
        <x:v>PLAN-001</x:v>
      </x:c>
      <x:c r="D85" s="29" t="str">
        <x:v>TENANT-A</x:v>
      </x:c>
      <x:c r="E85" s="29" t="str">
        <x:v>CON-001</x:v>
      </x:c>
      <x:c r="F85" s="29" t="str"/>
      <x:c r="G85" s="29" t="str">
        <x:v>1004</x:v>
      </x:c>
      <x:c r="H85" s="29" t="str">
        <x:v>回款计划</x:v>
      </x:c>
      <x:c r="I85" s="29" t="str"/>
      <x:c r="J85" s="29" t="str">
        <x:v>已回款</x:v>
      </x:c>
      <x:c r="K85" s="29" t="str">
        <x:v>计划</x:v>
      </x:c>
      <x:c r="L85" s="38" t="n">
        <x:v>46045.041666666664</x:v>
      </x:c>
      <x:c r="M85" s="29" t="str">
        <x:v>2026-01</x:v>
      </x:c>
      <x:c r="N85" s="41" t="n">
        <x:v>600.05</x:v>
      </x:c>
      <x:c r="O85" s="29" t="str"/>
      <x:c r="P85" s="29" t="str">
        <x:v>CRM-IT-20260714-01</x:v>
      </x:c>
      <x:c r="Q85" s="29" t="str">
        <x:v>API</x:v>
      </x:c>
      <x:c r="R85" s="30" t="str">
        <x:v>关联合同并校验余额</x:v>
      </x:c>
    </x:row>
    <x:row r="86" ht="15" hidden="0" customHeight="1">
      <x:c r="A86" s="44" t="n">
        <x:v>85</x:v>
      </x:c>
      <x:c r="B86" s="29" t="str">
        <x:v>RECEIVABLE_PLAN</x:v>
      </x:c>
      <x:c r="C86" s="29" t="str">
        <x:v>PLAN-002</x:v>
      </x:c>
      <x:c r="D86" s="29" t="str">
        <x:v>TENANT-A</x:v>
      </x:c>
      <x:c r="E86" s="29" t="str">
        <x:v>CON-001</x:v>
      </x:c>
      <x:c r="F86" s="29" t="str"/>
      <x:c r="G86" s="29" t="str">
        <x:v>1004</x:v>
      </x:c>
      <x:c r="H86" s="29" t="str">
        <x:v>回款计划</x:v>
      </x:c>
      <x:c r="I86" s="29" t="str"/>
      <x:c r="J86" s="29" t="str">
        <x:v>部分回款</x:v>
      </x:c>
      <x:c r="K86" s="29" t="str">
        <x:v>计划</x:v>
      </x:c>
      <x:c r="L86" s="38" t="n">
        <x:v>46045.041666666664</x:v>
      </x:c>
      <x:c r="M86" s="29" t="str">
        <x:v>2026-01</x:v>
      </x:c>
      <x:c r="N86" s="41" t="n">
        <x:v>400.05</x:v>
      </x:c>
      <x:c r="O86" s="29" t="str"/>
      <x:c r="P86" s="29" t="str">
        <x:v>CRM-IT-20260714-01</x:v>
      </x:c>
      <x:c r="Q86" s="29" t="str">
        <x:v>API</x:v>
      </x:c>
      <x:c r="R86" s="30" t="str">
        <x:v>关联合同并校验余额</x:v>
      </x:c>
    </x:row>
    <x:row r="87" ht="15" hidden="0" customHeight="1">
      <x:c r="A87" s="44" t="n">
        <x:v>86</x:v>
      </x:c>
      <x:c r="B87" s="29" t="str">
        <x:v>RECEIVABLE_PLAN</x:v>
      </x:c>
      <x:c r="C87" s="29" t="str">
        <x:v>PLAN-003</x:v>
      </x:c>
      <x:c r="D87" s="29" t="str">
        <x:v>TENANT-A</x:v>
      </x:c>
      <x:c r="E87" s="29" t="str">
        <x:v>CON-002</x:v>
      </x:c>
      <x:c r="F87" s="29" t="str"/>
      <x:c r="G87" s="29" t="str">
        <x:v>1004</x:v>
      </x:c>
      <x:c r="H87" s="29" t="str">
        <x:v>回款计划</x:v>
      </x:c>
      <x:c r="I87" s="29" t="str"/>
      <x:c r="J87" s="29" t="str">
        <x:v>部分回款</x:v>
      </x:c>
      <x:c r="K87" s="29" t="str">
        <x:v>计划</x:v>
      </x:c>
      <x:c r="L87" s="38" t="n">
        <x:v>46045.041666666664</x:v>
      </x:c>
      <x:c r="M87" s="29" t="str">
        <x:v>2026-01</x:v>
      </x:c>
      <x:c r="N87" s="41" t="n">
        <x:v>2000.2</x:v>
      </x:c>
      <x:c r="O87" s="29" t="str"/>
      <x:c r="P87" s="29" t="str">
        <x:v>CRM-IT-20260714-01</x:v>
      </x:c>
      <x:c r="Q87" s="29" t="str">
        <x:v>API</x:v>
      </x:c>
      <x:c r="R87" s="30" t="str">
        <x:v>关联合同并校验余额</x:v>
      </x:c>
    </x:row>
    <x:row r="88" ht="15" hidden="0" customHeight="1">
      <x:c r="A88" s="44" t="n">
        <x:v>87</x:v>
      </x:c>
      <x:c r="B88" s="29" t="str">
        <x:v>RECEIVABLE_PLAN</x:v>
      </x:c>
      <x:c r="C88" s="29" t="str">
        <x:v>PLAN-004</x:v>
      </x:c>
      <x:c r="D88" s="29" t="str">
        <x:v>TENANT-A</x:v>
      </x:c>
      <x:c r="E88" s="29" t="str">
        <x:v>CON-003</x:v>
      </x:c>
      <x:c r="F88" s="29" t="str"/>
      <x:c r="G88" s="29" t="str">
        <x:v>1004</x:v>
      </x:c>
      <x:c r="H88" s="29" t="str">
        <x:v>回款计划</x:v>
      </x:c>
      <x:c r="I88" s="29" t="str"/>
      <x:c r="J88" s="29" t="str">
        <x:v>未生效</x:v>
      </x:c>
      <x:c r="K88" s="29" t="str">
        <x:v>计划</x:v>
      </x:c>
      <x:c r="L88" s="38" t="n">
        <x:v>46045.041666666664</x:v>
      </x:c>
      <x:c r="M88" s="29" t="str">
        <x:v>2026-01</x:v>
      </x:c>
      <x:c r="N88" s="41" t="n">
        <x:v>500.05</x:v>
      </x:c>
      <x:c r="O88" s="29" t="str"/>
      <x:c r="P88" s="29" t="str">
        <x:v>CRM-IT-20260714-01</x:v>
      </x:c>
      <x:c r="Q88" s="29" t="str">
        <x:v>API</x:v>
      </x:c>
      <x:c r="R88" s="30" t="str">
        <x:v>关联合同并校验余额</x:v>
      </x:c>
    </x:row>
    <x:row r="89" ht="15" hidden="0" customHeight="1">
      <x:c r="A89" s="44" t="n">
        <x:v>88</x:v>
      </x:c>
      <x:c r="B89" s="29" t="str">
        <x:v>RECEIVABLE_PLAN</x:v>
      </x:c>
      <x:c r="C89" s="29" t="str">
        <x:v>PLAN-005</x:v>
      </x:c>
      <x:c r="D89" s="29" t="str">
        <x:v>TENANT-A</x:v>
      </x:c>
      <x:c r="E89" s="29" t="str">
        <x:v>CON-004</x:v>
      </x:c>
      <x:c r="F89" s="29" t="str"/>
      <x:c r="G89" s="29" t="str">
        <x:v>1004</x:v>
      </x:c>
      <x:c r="H89" s="29" t="str">
        <x:v>回款计划</x:v>
      </x:c>
      <x:c r="I89" s="29" t="str"/>
      <x:c r="J89" s="29" t="str">
        <x:v>未生效</x:v>
      </x:c>
      <x:c r="K89" s="29" t="str">
        <x:v>计划</x:v>
      </x:c>
      <x:c r="L89" s="38" t="n">
        <x:v>46045.041666666664</x:v>
      </x:c>
      <x:c r="M89" s="29" t="str">
        <x:v>2026-01</x:v>
      </x:c>
      <x:c r="N89" s="41" t="n">
        <x:v>600.06</x:v>
      </x:c>
      <x:c r="O89" s="29" t="str"/>
      <x:c r="P89" s="29" t="str">
        <x:v>CRM-IT-20260714-01</x:v>
      </x:c>
      <x:c r="Q89" s="29" t="str">
        <x:v>API</x:v>
      </x:c>
      <x:c r="R89" s="30" t="str">
        <x:v>关联合同并校验余额</x:v>
      </x:c>
    </x:row>
    <x:row r="90" ht="15" hidden="0" customHeight="1">
      <x:c r="A90" s="44" t="n">
        <x:v>89</x:v>
      </x:c>
      <x:c r="B90" s="29" t="str">
        <x:v>RECEIVABLE_PLAN</x:v>
      </x:c>
      <x:c r="C90" s="29" t="str">
        <x:v>PLAN-006</x:v>
      </x:c>
      <x:c r="D90" s="29" t="str">
        <x:v>TENANT-A</x:v>
      </x:c>
      <x:c r="E90" s="29" t="str">
        <x:v>CON-005</x:v>
      </x:c>
      <x:c r="F90" s="29" t="str"/>
      <x:c r="G90" s="29" t="str">
        <x:v>1004</x:v>
      </x:c>
      <x:c r="H90" s="29" t="str">
        <x:v>回款计划</x:v>
      </x:c>
      <x:c r="I90" s="29" t="str"/>
      <x:c r="J90" s="29" t="str">
        <x:v>已回款</x:v>
      </x:c>
      <x:c r="K90" s="29" t="str">
        <x:v>计划</x:v>
      </x:c>
      <x:c r="L90" s="38" t="n">
        <x:v>46045.041666666664</x:v>
      </x:c>
      <x:c r="M90" s="29" t="str">
        <x:v>2026-01</x:v>
      </x:c>
      <x:c r="N90" s="41" t="n">
        <x:v>700.07</x:v>
      </x:c>
      <x:c r="O90" s="29" t="str"/>
      <x:c r="P90" s="29" t="str">
        <x:v>CRM-IT-20260714-01</x:v>
      </x:c>
      <x:c r="Q90" s="29" t="str">
        <x:v>API</x:v>
      </x:c>
      <x:c r="R90" s="30" t="str">
        <x:v>关联合同并校验余额</x:v>
      </x:c>
    </x:row>
    <x:row r="91" ht="15" hidden="0" customHeight="1">
      <x:c r="A91" s="44" t="n">
        <x:v>90</x:v>
      </x:c>
      <x:c r="B91" s="29" t="str">
        <x:v>RECEIVABLE</x:v>
      </x:c>
      <x:c r="C91" s="29" t="str">
        <x:v>REC-001</x:v>
      </x:c>
      <x:c r="D91" s="29" t="str">
        <x:v>TENANT-A</x:v>
      </x:c>
      <x:c r="E91" s="29" t="str">
        <x:v>PLAN-001</x:v>
      </x:c>
      <x:c r="F91" s="29" t="str">
        <x:v>CON-001</x:v>
      </x:c>
      <x:c r="G91" s="29" t="str">
        <x:v>1001</x:v>
      </x:c>
      <x:c r="H91" s="29" t="str">
        <x:v>回款登记</x:v>
      </x:c>
      <x:c r="I91" s="29" t="str">
        <x:v>BANK</x:v>
      </x:c>
      <x:c r="J91" s="29" t="str">
        <x:v>审批通过</x:v>
      </x:c>
      <x:c r="K91" s="29" t="str">
        <x:v>回款</x:v>
      </x:c>
      <x:c r="L91" s="38" t="n">
        <x:v>46047.041666666664</x:v>
      </x:c>
      <x:c r="M91" s="29" t="str">
        <x:v>2026-01</x:v>
      </x:c>
      <x:c r="N91" s="41" t="n">
        <x:v>600.05</x:v>
      </x:c>
      <x:c r="O91" s="29" t="str"/>
      <x:c r="P91" s="29" t="str">
        <x:v>CRM-IT-20260714-01</x:v>
      </x:c>
      <x:c r="Q91" s="29" t="str">
        <x:v>API</x:v>
      </x:c>
      <x:c r="R91" s="30" t="str">
        <x:v>审批通过金额进入统计</x:v>
      </x:c>
    </x:row>
    <x:row r="92" ht="15" hidden="0" customHeight="1">
      <x:c r="A92" s="44" t="n">
        <x:v>91</x:v>
      </x:c>
      <x:c r="B92" s="29" t="str">
        <x:v>RECEIVABLE</x:v>
      </x:c>
      <x:c r="C92" s="29" t="str">
        <x:v>REC-002</x:v>
      </x:c>
      <x:c r="D92" s="29" t="str">
        <x:v>TENANT-A</x:v>
      </x:c>
      <x:c r="E92" s="29" t="str">
        <x:v>PLAN-002</x:v>
      </x:c>
      <x:c r="F92" s="29" t="str">
        <x:v>CON-001</x:v>
      </x:c>
      <x:c r="G92" s="29" t="str">
        <x:v>1001</x:v>
      </x:c>
      <x:c r="H92" s="29" t="str">
        <x:v>回款登记</x:v>
      </x:c>
      <x:c r="I92" s="29" t="str">
        <x:v>BANK</x:v>
      </x:c>
      <x:c r="J92" s="29" t="str">
        <x:v>审批通过</x:v>
      </x:c>
      <x:c r="K92" s="29" t="str">
        <x:v>回款</x:v>
      </x:c>
      <x:c r="L92" s="38" t="n">
        <x:v>46047.041666666664</x:v>
      </x:c>
      <x:c r="M92" s="29" t="str">
        <x:v>2026-01</x:v>
      </x:c>
      <x:c r="N92" s="41" t="n">
        <x:v>100</x:v>
      </x:c>
      <x:c r="O92" s="29" t="str"/>
      <x:c r="P92" s="29" t="str">
        <x:v>CRM-IT-20260714-01</x:v>
      </x:c>
      <x:c r="Q92" s="29" t="str">
        <x:v>API</x:v>
      </x:c>
      <x:c r="R92" s="30" t="str">
        <x:v>审批通过金额进入统计</x:v>
      </x:c>
    </x:row>
    <x:row r="93" ht="15" hidden="0" customHeight="1">
      <x:c r="A93" s="44" t="n">
        <x:v>92</x:v>
      </x:c>
      <x:c r="B93" s="29" t="str">
        <x:v>RECEIVABLE</x:v>
      </x:c>
      <x:c r="C93" s="29" t="str">
        <x:v>REC-003</x:v>
      </x:c>
      <x:c r="D93" s="29" t="str">
        <x:v>TENANT-A</x:v>
      </x:c>
      <x:c r="E93" s="29" t="str">
        <x:v>PLAN-003</x:v>
      </x:c>
      <x:c r="F93" s="29" t="str">
        <x:v>CON-002</x:v>
      </x:c>
      <x:c r="G93" s="29" t="str">
        <x:v>1001</x:v>
      </x:c>
      <x:c r="H93" s="29" t="str">
        <x:v>回款登记</x:v>
      </x:c>
      <x:c r="I93" s="29" t="str">
        <x:v>BANK</x:v>
      </x:c>
      <x:c r="J93" s="29" t="str">
        <x:v>审批中</x:v>
      </x:c>
      <x:c r="K93" s="29" t="str">
        <x:v>回款</x:v>
      </x:c>
      <x:c r="L93" s="38" t="n">
        <x:v>46047.041666666664</x:v>
      </x:c>
      <x:c r="M93" s="29" t="str">
        <x:v>2026-01</x:v>
      </x:c>
      <x:c r="N93" s="41" t="n">
        <x:v>500</x:v>
      </x:c>
      <x:c r="O93" s="29" t="str"/>
      <x:c r="P93" s="29" t="str">
        <x:v>CRM-IT-20260714-01</x:v>
      </x:c>
      <x:c r="Q93" s="29" t="str">
        <x:v>API</x:v>
      </x:c>
      <x:c r="R93" s="30" t="str">
        <x:v>审批通过金额进入统计</x:v>
      </x:c>
    </x:row>
    <x:row r="94" ht="15" hidden="0" customHeight="1">
      <x:c r="A94" s="44" t="n">
        <x:v>93</x:v>
      </x:c>
      <x:c r="B94" s="29" t="str">
        <x:v>RECEIVABLE</x:v>
      </x:c>
      <x:c r="C94" s="29" t="str">
        <x:v>REC-004</x:v>
      </x:c>
      <x:c r="D94" s="29" t="str">
        <x:v>TENANT-A</x:v>
      </x:c>
      <x:c r="E94" s="29" t="str">
        <x:v>PLAN-004</x:v>
      </x:c>
      <x:c r="F94" s="29" t="str">
        <x:v>CON-003</x:v>
      </x:c>
      <x:c r="G94" s="29" t="str">
        <x:v>1001</x:v>
      </x:c>
      <x:c r="H94" s="29" t="str">
        <x:v>回款登记</x:v>
      </x:c>
      <x:c r="I94" s="29" t="str">
        <x:v>BANK</x:v>
      </x:c>
      <x:c r="J94" s="29" t="str">
        <x:v>审批拒绝</x:v>
      </x:c>
      <x:c r="K94" s="29" t="str">
        <x:v>回款</x:v>
      </x:c>
      <x:c r="L94" s="38" t="n">
        <x:v>46047.041666666664</x:v>
      </x:c>
      <x:c r="M94" s="29" t="str">
        <x:v>2026-01</x:v>
      </x:c>
      <x:c r="N94" s="41" t="n">
        <x:v>500.05</x:v>
      </x:c>
      <x:c r="O94" s="29" t="str"/>
      <x:c r="P94" s="29" t="str">
        <x:v>CRM-IT-20260714-01</x:v>
      </x:c>
      <x:c r="Q94" s="29" t="str">
        <x:v>API</x:v>
      </x:c>
      <x:c r="R94" s="30" t="str">
        <x:v>审批通过金额进入统计</x:v>
      </x:c>
    </x:row>
    <x:row r="95" ht="15" hidden="0" customHeight="1">
      <x:c r="A95" s="44" t="n">
        <x:v>94</x:v>
      </x:c>
      <x:c r="B95" s="29" t="str">
        <x:v>RECEIVABLE</x:v>
      </x:c>
      <x:c r="C95" s="29" t="str">
        <x:v>REC-005</x:v>
      </x:c>
      <x:c r="D95" s="29" t="str">
        <x:v>TENANT-A</x:v>
      </x:c>
      <x:c r="E95" s="29" t="str">
        <x:v>PLAN-006</x:v>
      </x:c>
      <x:c r="F95" s="29" t="str">
        <x:v>CON-005</x:v>
      </x:c>
      <x:c r="G95" s="29" t="str">
        <x:v>1001</x:v>
      </x:c>
      <x:c r="H95" s="29" t="str">
        <x:v>回款登记</x:v>
      </x:c>
      <x:c r="I95" s="29" t="str">
        <x:v>BANK</x:v>
      </x:c>
      <x:c r="J95" s="29" t="str">
        <x:v>审批通过</x:v>
      </x:c>
      <x:c r="K95" s="29" t="str">
        <x:v>回款</x:v>
      </x:c>
      <x:c r="L95" s="38" t="n">
        <x:v>46047.041666666664</x:v>
      </x:c>
      <x:c r="M95" s="29" t="str">
        <x:v>2026-01</x:v>
      </x:c>
      <x:c r="N95" s="41" t="n">
        <x:v>700.07</x:v>
      </x:c>
      <x:c r="O95" s="29" t="str"/>
      <x:c r="P95" s="29" t="str">
        <x:v>CRM-IT-20260714-01</x:v>
      </x:c>
      <x:c r="Q95" s="29" t="str">
        <x:v>API</x:v>
      </x:c>
      <x:c r="R95" s="30" t="str">
        <x:v>审批通过金额进入统计</x:v>
      </x:c>
    </x:row>
    <x:row r="96" ht="15" hidden="0" customHeight="1">
      <x:c r="A96" s="44" t="n">
        <x:v>95</x:v>
      </x:c>
      <x:c r="B96" s="29" t="str">
        <x:v>RECEIVABLE</x:v>
      </x:c>
      <x:c r="C96" s="29" t="str">
        <x:v>REC-006</x:v>
      </x:c>
      <x:c r="D96" s="29" t="str">
        <x:v>TENANT-A</x:v>
      </x:c>
      <x:c r="E96" s="29" t="str">
        <x:v>PLAN-002</x:v>
      </x:c>
      <x:c r="F96" s="29" t="str">
        <x:v>CON-001</x:v>
      </x:c>
      <x:c r="G96" s="29" t="str">
        <x:v>1001</x:v>
      </x:c>
      <x:c r="H96" s="29" t="str">
        <x:v>回款登记</x:v>
      </x:c>
      <x:c r="I96" s="29" t="str">
        <x:v>BANK</x:v>
      </x:c>
      <x:c r="J96" s="29" t="str">
        <x:v>审批通过</x:v>
      </x:c>
      <x:c r="K96" s="29" t="str">
        <x:v>回款</x:v>
      </x:c>
      <x:c r="L96" s="38" t="n">
        <x:v>46047.041666666664</x:v>
      </x:c>
      <x:c r="M96" s="29" t="str">
        <x:v>2026-01</x:v>
      </x:c>
      <x:c r="N96" s="41" t="n">
        <x:v>0</x:v>
      </x:c>
      <x:c r="O96" s="29" t="str"/>
      <x:c r="P96" s="29" t="str">
        <x:v>CRM-IT-20260714-01</x:v>
      </x:c>
      <x:c r="Q96" s="29" t="str">
        <x:v>API</x:v>
      </x:c>
      <x:c r="R96" s="30" t="str">
        <x:v>审批通过金额进入统计</x:v>
      </x:c>
    </x:row>
    <x:row r="97" ht="15" hidden="0" customHeight="1">
      <x:c r="A97" s="44" t="n">
        <x:v>96</x:v>
      </x:c>
      <x:c r="B97" s="29" t="str">
        <x:v>FOLLOW_UP</x:v>
      </x:c>
      <x:c r="C97" s="29" t="str">
        <x:v>FOL-001</x:v>
      </x:c>
      <x:c r="D97" s="29" t="str">
        <x:v>TENANT-A</x:v>
      </x:c>
      <x:c r="E97" s="29" t="str">
        <x:v>CUS-001</x:v>
      </x:c>
      <x:c r="F97" s="29" t="str"/>
      <x:c r="G97" s="29" t="str">
        <x:v>1001</x:v>
      </x:c>
      <x:c r="H97" s="29" t="str">
        <x:v>联调跟进记录</x:v>
      </x:c>
      <x:c r="I97" s="29" t="str">
        <x:v>PHONE</x:v>
      </x:c>
      <x:c r="J97" s="29" t="str">
        <x:v>有效</x:v>
      </x:c>
      <x:c r="K97" s="29" t="str">
        <x:v>客户</x:v>
      </x:c>
      <x:c r="L97" s="38" t="n">
        <x:v>46048.041666666664</x:v>
      </x:c>
      <x:c r="M97" s="29" t="str">
        <x:v>2026-01</x:v>
      </x:c>
      <x:c r="N97" s="41" t="str"/>
      <x:c r="O97" s="29" t="str">
        <x:v>1</x:v>
      </x:c>
      <x:c r="P97" s="29" t="str">
        <x:v>CRM-IT-20260714-01</x:v>
      </x:c>
      <x:c r="Q97" s="29" t="str">
        <x:v>API</x:v>
      </x:c>
      <x:c r="R97" s="30" t="str">
        <x:v>客户跟进4次、去重客户2个</x:v>
      </x:c>
    </x:row>
    <x:row r="98" ht="15" hidden="0" customHeight="1">
      <x:c r="A98" s="44" t="n">
        <x:v>97</x:v>
      </x:c>
      <x:c r="B98" s="29" t="str">
        <x:v>FOLLOW_UP</x:v>
      </x:c>
      <x:c r="C98" s="29" t="str">
        <x:v>FOL-002</x:v>
      </x:c>
      <x:c r="D98" s="29" t="str">
        <x:v>TENANT-A</x:v>
      </x:c>
      <x:c r="E98" s="29" t="str">
        <x:v>CUS-001</x:v>
      </x:c>
      <x:c r="F98" s="29" t="str"/>
      <x:c r="G98" s="29" t="str">
        <x:v>1001</x:v>
      </x:c>
      <x:c r="H98" s="29" t="str">
        <x:v>联调跟进记录</x:v>
      </x:c>
      <x:c r="I98" s="29" t="str">
        <x:v>PHONE</x:v>
      </x:c>
      <x:c r="J98" s="29" t="str">
        <x:v>有效</x:v>
      </x:c>
      <x:c r="K98" s="29" t="str">
        <x:v>客户</x:v>
      </x:c>
      <x:c r="L98" s="38" t="n">
        <x:v>46048.041666666664</x:v>
      </x:c>
      <x:c r="M98" s="29" t="str">
        <x:v>2026-01</x:v>
      </x:c>
      <x:c r="N98" s="41" t="str"/>
      <x:c r="O98" s="29" t="str">
        <x:v>1</x:v>
      </x:c>
      <x:c r="P98" s="29" t="str">
        <x:v>CRM-IT-20260714-01</x:v>
      </x:c>
      <x:c r="Q98" s="29" t="str">
        <x:v>API</x:v>
      </x:c>
      <x:c r="R98" s="30" t="str">
        <x:v>客户跟进4次、去重客户2个</x:v>
      </x:c>
    </x:row>
    <x:row r="99" ht="15" hidden="0" customHeight="1">
      <x:c r="A99" s="44" t="n">
        <x:v>98</x:v>
      </x:c>
      <x:c r="B99" s="29" t="str">
        <x:v>FOLLOW_UP</x:v>
      </x:c>
      <x:c r="C99" s="29" t="str">
        <x:v>FOL-003</x:v>
      </x:c>
      <x:c r="D99" s="29" t="str">
        <x:v>TENANT-A</x:v>
      </x:c>
      <x:c r="E99" s="29" t="str">
        <x:v>CUS-002</x:v>
      </x:c>
      <x:c r="F99" s="29" t="str"/>
      <x:c r="G99" s="29" t="str">
        <x:v>1001</x:v>
      </x:c>
      <x:c r="H99" s="29" t="str">
        <x:v>联调跟进记录</x:v>
      </x:c>
      <x:c r="I99" s="29" t="str">
        <x:v>PHONE</x:v>
      </x:c>
      <x:c r="J99" s="29" t="str">
        <x:v>有效</x:v>
      </x:c>
      <x:c r="K99" s="29" t="str">
        <x:v>客户</x:v>
      </x:c>
      <x:c r="L99" s="38" t="n">
        <x:v>46048.041666666664</x:v>
      </x:c>
      <x:c r="M99" s="29" t="str">
        <x:v>2026-01</x:v>
      </x:c>
      <x:c r="N99" s="41" t="str"/>
      <x:c r="O99" s="29" t="str">
        <x:v>1</x:v>
      </x:c>
      <x:c r="P99" s="29" t="str">
        <x:v>CRM-IT-20260714-01</x:v>
      </x:c>
      <x:c r="Q99" s="29" t="str">
        <x:v>API</x:v>
      </x:c>
      <x:c r="R99" s="30" t="str">
        <x:v>客户跟进4次、去重客户2个</x:v>
      </x:c>
    </x:row>
    <x:row r="100" ht="15" hidden="0" customHeight="1">
      <x:c r="A100" s="44" t="n">
        <x:v>99</x:v>
      </x:c>
      <x:c r="B100" s="29" t="str">
        <x:v>FOLLOW_UP</x:v>
      </x:c>
      <x:c r="C100" s="29" t="str">
        <x:v>FOL-004</x:v>
      </x:c>
      <x:c r="D100" s="29" t="str">
        <x:v>TENANT-A</x:v>
      </x:c>
      <x:c r="E100" s="29" t="str">
        <x:v>CUS-002</x:v>
      </x:c>
      <x:c r="F100" s="29" t="str"/>
      <x:c r="G100" s="29" t="str">
        <x:v>1001</x:v>
      </x:c>
      <x:c r="H100" s="29" t="str">
        <x:v>联调跟进记录</x:v>
      </x:c>
      <x:c r="I100" s="29" t="str">
        <x:v>PHONE</x:v>
      </x:c>
      <x:c r="J100" s="29" t="str">
        <x:v>有效</x:v>
      </x:c>
      <x:c r="K100" s="29" t="str">
        <x:v>客户</x:v>
      </x:c>
      <x:c r="L100" s="38" t="n">
        <x:v>46048.041666666664</x:v>
      </x:c>
      <x:c r="M100" s="29" t="str">
        <x:v>2026-01</x:v>
      </x:c>
      <x:c r="N100" s="41" t="str"/>
      <x:c r="O100" s="29" t="str">
        <x:v>1</x:v>
      </x:c>
      <x:c r="P100" s="29" t="str">
        <x:v>CRM-IT-20260714-01</x:v>
      </x:c>
      <x:c r="Q100" s="29" t="str">
        <x:v>API</x:v>
      </x:c>
      <x:c r="R100" s="30" t="str">
        <x:v>客户跟进4次、去重客户2个</x:v>
      </x:c>
    </x:row>
    <x:row r="101" ht="15" hidden="0" customHeight="1">
      <x:c r="A101" s="44" t="n">
        <x:v>100</x:v>
      </x:c>
      <x:c r="B101" s="29" t="str">
        <x:v>FOLLOW_UP</x:v>
      </x:c>
      <x:c r="C101" s="29" t="str">
        <x:v>FOL-005</x:v>
      </x:c>
      <x:c r="D101" s="29" t="str">
        <x:v>TENANT-A</x:v>
      </x:c>
      <x:c r="E101" s="29" t="str">
        <x:v>BUS-001</x:v>
      </x:c>
      <x:c r="F101" s="29" t="str"/>
      <x:c r="G101" s="29" t="str">
        <x:v>1001</x:v>
      </x:c>
      <x:c r="H101" s="29" t="str">
        <x:v>联调跟进记录</x:v>
      </x:c>
      <x:c r="I101" s="29" t="str">
        <x:v>PHONE</x:v>
      </x:c>
      <x:c r="J101" s="29" t="str">
        <x:v>有效</x:v>
      </x:c>
      <x:c r="K101" s="29" t="str">
        <x:v>商机</x:v>
      </x:c>
      <x:c r="L101" s="38" t="n">
        <x:v>46048.041666666664</x:v>
      </x:c>
      <x:c r="M101" s="29" t="str">
        <x:v>2026-01</x:v>
      </x:c>
      <x:c r="N101" s="41" t="str"/>
      <x:c r="O101" s="29" t="str">
        <x:v>1</x:v>
      </x:c>
      <x:c r="P101" s="29" t="str">
        <x:v>CRM-IT-20260714-01</x:v>
      </x:c>
      <x:c r="Q101" s="29" t="str">
        <x:v>API</x:v>
      </x:c>
      <x:c r="R101" s="30" t="str">
        <x:v>客户跟进4次、去重客户2个</x:v>
      </x:c>
    </x:row>
    <x:row r="102" ht="15" hidden="0" customHeight="1">
      <x:c r="A102" s="44" t="n">
        <x:v>101</x:v>
      </x:c>
      <x:c r="B102" s="29" t="str">
        <x:v>WORKORDER</x:v>
      </x:c>
      <x:c r="C102" s="29" t="str">
        <x:v>WO-001</x:v>
      </x:c>
      <x:c r="D102" s="29" t="str">
        <x:v>TENANT-A</x:v>
      </x:c>
      <x:c r="E102" s="29" t="str">
        <x:v>CUS-001</x:v>
      </x:c>
      <x:c r="F102" s="29" t="str"/>
      <x:c r="G102" s="29" t="str">
        <x:v>1001</x:v>
      </x:c>
      <x:c r="H102" s="29" t="str">
        <x:v>客户服务工单</x:v>
      </x:c>
      <x:c r="I102" s="29" t="str"/>
      <x:c r="J102" s="29" t="str">
        <x:v>处理中</x:v>
      </x:c>
      <x:c r="K102" s="29" t="str">
        <x:v>P1支线</x:v>
      </x:c>
      <x:c r="L102" s="38" t="n">
        <x:v>46049.041666666664</x:v>
      </x:c>
      <x:c r="M102" s="29" t="str">
        <x:v>2026-01</x:v>
      </x:c>
      <x:c r="N102" s="41" t="str"/>
      <x:c r="O102" s="29" t="str"/>
      <x:c r="P102" s="29" t="str">
        <x:v>CRM-IT-20260714-01</x:v>
      </x:c>
      <x:c r="Q102" s="29" t="str">
        <x:v>API</x:v>
      </x:c>
      <x:c r="R102" s="30" t="str">
        <x:v>不阻塞CRM P0主链</x:v>
      </x:c>
    </x:row>
    <x:row r="103" ht="15" hidden="0" customHeight="1">
      <x:c r="A103" s="44" t="n">
        <x:v>102</x:v>
      </x:c>
      <x:c r="B103" s="29" t="str">
        <x:v>WORKORDER</x:v>
      </x:c>
      <x:c r="C103" s="29" t="str">
        <x:v>WO-002</x:v>
      </x:c>
      <x:c r="D103" s="29" t="str">
        <x:v>TENANT-A</x:v>
      </x:c>
      <x:c r="E103" s="29" t="str">
        <x:v>CUS-002</x:v>
      </x:c>
      <x:c r="F103" s="29" t="str"/>
      <x:c r="G103" s="29" t="str">
        <x:v>1001</x:v>
      </x:c>
      <x:c r="H103" s="29" t="str">
        <x:v>客户服务工单</x:v>
      </x:c>
      <x:c r="I103" s="29" t="str"/>
      <x:c r="J103" s="29" t="str">
        <x:v>已完成</x:v>
      </x:c>
      <x:c r="K103" s="29" t="str">
        <x:v>P1支线</x:v>
      </x:c>
      <x:c r="L103" s="38" t="n">
        <x:v>46049.041666666664</x:v>
      </x:c>
      <x:c r="M103" s="29" t="str">
        <x:v>2026-01</x:v>
      </x:c>
      <x:c r="N103" s="41" t="str"/>
      <x:c r="O103" s="29" t="str"/>
      <x:c r="P103" s="29" t="str">
        <x:v>CRM-IT-20260714-01</x:v>
      </x:c>
      <x:c r="Q103" s="29" t="str">
        <x:v>API</x:v>
      </x:c>
      <x:c r="R103" s="30" t="str">
        <x:v>不阻塞CRM P0主链</x:v>
      </x:c>
    </x:row>
    <x:row r="104" ht="15" hidden="0" customHeight="1">
      <x:c r="A104" s="44" t="n">
        <x:v>103</x:v>
      </x:c>
      <x:c r="B104" s="29" t="str">
        <x:v>WORKORDER</x:v>
      </x:c>
      <x:c r="C104" s="29" t="str">
        <x:v>WO-003</x:v>
      </x:c>
      <x:c r="D104" s="29" t="str">
        <x:v>TENANT-A</x:v>
      </x:c>
      <x:c r="E104" s="29" t="str">
        <x:v>CUS-009</x:v>
      </x:c>
      <x:c r="F104" s="29" t="str"/>
      <x:c r="G104" s="29" t="str">
        <x:v>1001</x:v>
      </x:c>
      <x:c r="H104" s="29" t="str">
        <x:v>客户服务工单</x:v>
      </x:c>
      <x:c r="I104" s="29" t="str"/>
      <x:c r="J104" s="29" t="str">
        <x:v>待受理</x:v>
      </x:c>
      <x:c r="K104" s="29" t="str">
        <x:v>P1支线</x:v>
      </x:c>
      <x:c r="L104" s="38" t="n">
        <x:v>46049.041666666664</x:v>
      </x:c>
      <x:c r="M104" s="29" t="str">
        <x:v>2026-01</x:v>
      </x:c>
      <x:c r="N104" s="41" t="str"/>
      <x:c r="O104" s="29" t="str"/>
      <x:c r="P104" s="29" t="str">
        <x:v>CRM-IT-20260714-01</x:v>
      </x:c>
      <x:c r="Q104" s="29" t="str">
        <x:v>API</x:v>
      </x:c>
      <x:c r="R104" s="30" t="str">
        <x:v>不阻塞CRM P0主链</x:v>
      </x:c>
    </x:row>
    <x:row r="105" ht="15" hidden="0" customHeight="1">
      <x:c r="A105" s="44" t="n">
        <x:v>104</x:v>
      </x:c>
      <x:c r="B105" s="29" t="str">
        <x:v>MARKETING_ACTIVITY</x:v>
      </x:c>
      <x:c r="C105" s="29" t="str">
        <x:v>MKT-001</x:v>
      </x:c>
      <x:c r="D105" s="29" t="str">
        <x:v>TENANT-A</x:v>
      </x:c>
      <x:c r="E105" s="29" t="str">
        <x:v>CUS-001</x:v>
      </x:c>
      <x:c r="F105" s="29" t="str"/>
      <x:c r="G105" s="29" t="str">
        <x:v>1001</x:v>
      </x:c>
      <x:c r="H105" s="29" t="str">
        <x:v>客户营销活动</x:v>
      </x:c>
      <x:c r="I105" s="29" t="str"/>
      <x:c r="J105" s="29" t="str">
        <x:v>已发送</x:v>
      </x:c>
      <x:c r="K105" s="29" t="str">
        <x:v>P1支线</x:v>
      </x:c>
      <x:c r="L105" s="38" t="n">
        <x:v>46050.041666666664</x:v>
      </x:c>
      <x:c r="M105" s="29" t="str">
        <x:v>2026-01</x:v>
      </x:c>
      <x:c r="N105" s="41" t="str"/>
      <x:c r="O105" s="29" t="str"/>
      <x:c r="P105" s="29" t="str">
        <x:v>CRM-IT-20260714-01</x:v>
      </x:c>
      <x:c r="Q105" s="29" t="str">
        <x:v>API</x:v>
      </x:c>
      <x:c r="R105" s="30" t="str">
        <x:v>发送状态可追踪</x:v>
      </x:c>
    </x:row>
    <x:row r="106" ht="15" hidden="0" customHeight="1">
      <x:c r="A106" s="44" t="n">
        <x:v>105</x:v>
      </x:c>
      <x:c r="B106" s="29" t="str">
        <x:v>MARKETING_ACTIVITY</x:v>
      </x:c>
      <x:c r="C106" s="29" t="str">
        <x:v>MKT-002</x:v>
      </x:c>
      <x:c r="D106" s="29" t="str">
        <x:v>TENANT-A</x:v>
      </x:c>
      <x:c r="E106" s="29" t="str">
        <x:v>CUS-002</x:v>
      </x:c>
      <x:c r="F106" s="29" t="str"/>
      <x:c r="G106" s="29" t="str">
        <x:v>1001</x:v>
      </x:c>
      <x:c r="H106" s="29" t="str">
        <x:v>客户营销活动</x:v>
      </x:c>
      <x:c r="I106" s="29" t="str"/>
      <x:c r="J106" s="29" t="str">
        <x:v>待审核</x:v>
      </x:c>
      <x:c r="K106" s="29" t="str">
        <x:v>P1支线</x:v>
      </x:c>
      <x:c r="L106" s="38" t="n">
        <x:v>46050.041666666664</x:v>
      </x:c>
      <x:c r="M106" s="29" t="str">
        <x:v>2026-01</x:v>
      </x:c>
      <x:c r="N106" s="41" t="str"/>
      <x:c r="O106" s="29" t="str"/>
      <x:c r="P106" s="29" t="str">
        <x:v>CRM-IT-20260714-01</x:v>
      </x:c>
      <x:c r="Q106" s="29" t="str">
        <x:v>API</x:v>
      </x:c>
      <x:c r="R106" s="30" t="str">
        <x:v>发送状态可追踪</x:v>
      </x:c>
    </x:row>
    <x:row r="107" ht="15" hidden="0" customHeight="1">
      <x:c r="A107" s="45" t="n">
        <x:v>106</x:v>
      </x:c>
      <x:c r="B107" s="32" t="str">
        <x:v>MARKETING_ACTIVITY</x:v>
      </x:c>
      <x:c r="C107" s="32" t="str">
        <x:v>MKT-003</x:v>
      </x:c>
      <x:c r="D107" s="32" t="str">
        <x:v>TENANT-A</x:v>
      </x:c>
      <x:c r="E107" s="32" t="str">
        <x:v>CUS-003</x:v>
      </x:c>
      <x:c r="F107" s="32" t="str"/>
      <x:c r="G107" s="32" t="str">
        <x:v>1001</x:v>
      </x:c>
      <x:c r="H107" s="32" t="str">
        <x:v>客户营销活动</x:v>
      </x:c>
      <x:c r="I107" s="32" t="str"/>
      <x:c r="J107" s="32" t="str">
        <x:v>发送失败</x:v>
      </x:c>
      <x:c r="K107" s="32" t="str">
        <x:v>P1支线</x:v>
      </x:c>
      <x:c r="L107" s="39" t="n">
        <x:v>46050.041666666664</x:v>
      </x:c>
      <x:c r="M107" s="32" t="str">
        <x:v>2026-01</x:v>
      </x:c>
      <x:c r="N107" s="42" t="str"/>
      <x:c r="O107" s="32" t="str"/>
      <x:c r="P107" s="32" t="str">
        <x:v>CRM-IT-20260714-01</x:v>
      </x:c>
      <x:c r="Q107" s="32" t="str">
        <x:v>API</x:v>
      </x:c>
      <x:c r="R107" s="33" t="str">
        <x:v>发送状态可追踪</x:v>
      </x:c>
    </x:row>
  </x:sheetData>
  <x:conditionalFormatting sqref="B2:R107">
    <x:cfRule type="expression" dxfId="0" priority="1">
      <x:formula>$Q2="ENV_PRECONDITION"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2" hidden="0" customWidth="1"/>
    <x:col min="5" max="5" width="15" hidden="0" customWidth="1"/>
    <x:col min="6" max="6" width="42" hidden="0" customWidth="1"/>
  </x:cols>
  <x:sheetData>
    <x:row r="1" ht="15" hidden="0" customHeight="1">
      <x:c r="A1" s="6" t="str">
        <x:v>object_type</x:v>
      </x:c>
      <x:c r="B1" s="6" t="str">
        <x:v>logical_id</x:v>
      </x:c>
      <x:c r="C1" s="6" t="str">
        <x:v>actual_id</x:v>
      </x:c>
      <x:c r="D1" s="6" t="str">
        <x:v>created_at</x:v>
      </x:c>
      <x:c r="E1" s="6" t="str">
        <x:v>result</x:v>
      </x:c>
      <x:c r="F1" s="6" t="str">
        <x:v>error_message</x:v>
      </x:c>
    </x:row>
    <x:row r="2" ht="15" hidden="0" customHeight="1">
      <x:c r="A2" s="25" t="str">
        <x:v>CLUE</x:v>
      </x:c>
      <x:c r="B2" s="26" t="str">
        <x:v>CLUE-001</x:v>
      </x:c>
      <x:c r="C2" s="26" t="str"/>
      <x:c r="D2" s="37" t="str"/>
      <x:c r="E2" s="26" t="str">
        <x:v>待执行</x:v>
      </x:c>
      <x:c r="F2" s="27" t="str"/>
    </x:row>
    <x:row r="3" ht="15" hidden="0" customHeight="1">
      <x:c r="A3" s="28" t="str">
        <x:v>CLUE</x:v>
      </x:c>
      <x:c r="B3" s="29" t="str">
        <x:v>CLUE-002</x:v>
      </x:c>
      <x:c r="C3" s="29" t="str"/>
      <x:c r="D3" s="38" t="str"/>
      <x:c r="E3" s="29" t="str">
        <x:v>待执行</x:v>
      </x:c>
      <x:c r="F3" s="30" t="str"/>
    </x:row>
    <x:row r="4" ht="15" hidden="0" customHeight="1">
      <x:c r="A4" s="28" t="str">
        <x:v>CLUE</x:v>
      </x:c>
      <x:c r="B4" s="29" t="str">
        <x:v>CLUE-003</x:v>
      </x:c>
      <x:c r="C4" s="29" t="str"/>
      <x:c r="D4" s="38" t="str"/>
      <x:c r="E4" s="29" t="str">
        <x:v>待执行</x:v>
      </x:c>
      <x:c r="F4" s="30" t="str"/>
    </x:row>
    <x:row r="5" ht="15" hidden="0" customHeight="1">
      <x:c r="A5" s="28" t="str">
        <x:v>CLUE</x:v>
      </x:c>
      <x:c r="B5" s="29" t="str">
        <x:v>CLUE-004</x:v>
      </x:c>
      <x:c r="C5" s="29" t="str"/>
      <x:c r="D5" s="38" t="str"/>
      <x:c r="E5" s="29" t="str">
        <x:v>待执行</x:v>
      </x:c>
      <x:c r="F5" s="30" t="str"/>
    </x:row>
    <x:row r="6" ht="15" hidden="0" customHeight="1">
      <x:c r="A6" s="28" t="str">
        <x:v>CUSTOMER</x:v>
      </x:c>
      <x:c r="B6" s="29" t="str">
        <x:v>CUS-001</x:v>
      </x:c>
      <x:c r="C6" s="29" t="str"/>
      <x:c r="D6" s="38" t="str"/>
      <x:c r="E6" s="29" t="str">
        <x:v>待执行</x:v>
      </x:c>
      <x:c r="F6" s="30" t="str"/>
    </x:row>
    <x:row r="7" ht="15" hidden="0" customHeight="1">
      <x:c r="A7" s="28" t="str">
        <x:v>CUSTOMER</x:v>
      </x:c>
      <x:c r="B7" s="29" t="str">
        <x:v>CUS-002</x:v>
      </x:c>
      <x:c r="C7" s="29" t="str"/>
      <x:c r="D7" s="38" t="str"/>
      <x:c r="E7" s="29" t="str">
        <x:v>待执行</x:v>
      </x:c>
      <x:c r="F7" s="30" t="str"/>
    </x:row>
    <x:row r="8" ht="15" hidden="0" customHeight="1">
      <x:c r="A8" s="28" t="str">
        <x:v>CUSTOMER</x:v>
      </x:c>
      <x:c r="B8" s="29" t="str">
        <x:v>CUS-003</x:v>
      </x:c>
      <x:c r="C8" s="29" t="str"/>
      <x:c r="D8" s="38" t="str"/>
      <x:c r="E8" s="29" t="str">
        <x:v>待执行</x:v>
      </x:c>
      <x:c r="F8" s="30" t="str"/>
    </x:row>
    <x:row r="9" ht="15" hidden="0" customHeight="1">
      <x:c r="A9" s="28" t="str">
        <x:v>CUSTOMER</x:v>
      </x:c>
      <x:c r="B9" s="29" t="str">
        <x:v>CUS-004</x:v>
      </x:c>
      <x:c r="C9" s="29" t="str"/>
      <x:c r="D9" s="38" t="str"/>
      <x:c r="E9" s="29" t="str">
        <x:v>待执行</x:v>
      </x:c>
      <x:c r="F9" s="30" t="str"/>
    </x:row>
    <x:row r="10" ht="15" hidden="0" customHeight="1">
      <x:c r="A10" s="28" t="str">
        <x:v>CUSTOMER</x:v>
      </x:c>
      <x:c r="B10" s="29" t="str">
        <x:v>CUS-005</x:v>
      </x:c>
      <x:c r="C10" s="29" t="str"/>
      <x:c r="D10" s="38" t="str"/>
      <x:c r="E10" s="29" t="str">
        <x:v>待执行</x:v>
      </x:c>
      <x:c r="F10" s="30" t="str"/>
    </x:row>
    <x:row r="11" ht="15" hidden="0" customHeight="1">
      <x:c r="A11" s="28" t="str">
        <x:v>CUSTOMER</x:v>
      </x:c>
      <x:c r="B11" s="29" t="str">
        <x:v>CUS-006</x:v>
      </x:c>
      <x:c r="C11" s="29" t="str"/>
      <x:c r="D11" s="38" t="str"/>
      <x:c r="E11" s="29" t="str">
        <x:v>待执行</x:v>
      </x:c>
      <x:c r="F11" s="30" t="str"/>
    </x:row>
    <x:row r="12" ht="15" hidden="0" customHeight="1">
      <x:c r="A12" s="28" t="str">
        <x:v>CUSTOMER</x:v>
      </x:c>
      <x:c r="B12" s="29" t="str">
        <x:v>CUS-007</x:v>
      </x:c>
      <x:c r="C12" s="29" t="str"/>
      <x:c r="D12" s="38" t="str"/>
      <x:c r="E12" s="29" t="str">
        <x:v>待执行</x:v>
      </x:c>
      <x:c r="F12" s="30" t="str"/>
    </x:row>
    <x:row r="13" ht="15" hidden="0" customHeight="1">
      <x:c r="A13" s="28" t="str">
        <x:v>CUSTOMER</x:v>
      </x:c>
      <x:c r="B13" s="29" t="str">
        <x:v>CUS-009</x:v>
      </x:c>
      <x:c r="C13" s="29" t="str"/>
      <x:c r="D13" s="38" t="str"/>
      <x:c r="E13" s="29" t="str">
        <x:v>待执行</x:v>
      </x:c>
      <x:c r="F13" s="30" t="str"/>
    </x:row>
    <x:row r="14" ht="15" hidden="0" customHeight="1">
      <x:c r="A14" s="28" t="str">
        <x:v>CUSTOMER</x:v>
      </x:c>
      <x:c r="B14" s="29" t="str">
        <x:v>CUS-010</x:v>
      </x:c>
      <x:c r="C14" s="29" t="str"/>
      <x:c r="D14" s="38" t="str"/>
      <x:c r="E14" s="29" t="str">
        <x:v>待执行</x:v>
      </x:c>
      <x:c r="F14" s="30" t="str"/>
    </x:row>
    <x:row r="15" ht="15" hidden="0" customHeight="1">
      <x:c r="A15" s="28" t="str">
        <x:v>CUSTOMER</x:v>
      </x:c>
      <x:c r="B15" s="29" t="str">
        <x:v>CUS-011</x:v>
      </x:c>
      <x:c r="C15" s="29" t="str"/>
      <x:c r="D15" s="38" t="str"/>
      <x:c r="E15" s="29" t="str">
        <x:v>待执行</x:v>
      </x:c>
      <x:c r="F15" s="30" t="str"/>
    </x:row>
    <x:row r="16" ht="15" hidden="0" customHeight="1">
      <x:c r="A16" s="28" t="str">
        <x:v>CUSTOMER</x:v>
      </x:c>
      <x:c r="B16" s="29" t="str">
        <x:v>CUS-008</x:v>
      </x:c>
      <x:c r="C16" s="29" t="str"/>
      <x:c r="D16" s="38" t="str"/>
      <x:c r="E16" s="29" t="str">
        <x:v>待执行</x:v>
      </x:c>
      <x:c r="F16" s="30" t="str"/>
    </x:row>
    <x:row r="17" ht="15" hidden="0" customHeight="1">
      <x:c r="A17" s="28" t="str">
        <x:v>CONTACT</x:v>
      </x:c>
      <x:c r="B17" s="29" t="str">
        <x:v>CONT-001</x:v>
      </x:c>
      <x:c r="C17" s="29" t="str"/>
      <x:c r="D17" s="38" t="str"/>
      <x:c r="E17" s="29" t="str">
        <x:v>待执行</x:v>
      </x:c>
      <x:c r="F17" s="30" t="str"/>
    </x:row>
    <x:row r="18" ht="15" hidden="0" customHeight="1">
      <x:c r="A18" s="28" t="str">
        <x:v>CONTACT</x:v>
      </x:c>
      <x:c r="B18" s="29" t="str">
        <x:v>CONT-002</x:v>
      </x:c>
      <x:c r="C18" s="29" t="str"/>
      <x:c r="D18" s="38" t="str"/>
      <x:c r="E18" s="29" t="str">
        <x:v>待执行</x:v>
      </x:c>
      <x:c r="F18" s="30" t="str"/>
    </x:row>
    <x:row r="19" ht="15" hidden="0" customHeight="1">
      <x:c r="A19" s="28" t="str">
        <x:v>CONTACT</x:v>
      </x:c>
      <x:c r="B19" s="29" t="str">
        <x:v>CONT-003</x:v>
      </x:c>
      <x:c r="C19" s="29" t="str"/>
      <x:c r="D19" s="38" t="str"/>
      <x:c r="E19" s="29" t="str">
        <x:v>待执行</x:v>
      </x:c>
      <x:c r="F19" s="30" t="str"/>
    </x:row>
    <x:row r="20" ht="15" hidden="0" customHeight="1">
      <x:c r="A20" s="28" t="str">
        <x:v>CONTACT</x:v>
      </x:c>
      <x:c r="B20" s="29" t="str">
        <x:v>CONT-004</x:v>
      </x:c>
      <x:c r="C20" s="29" t="str"/>
      <x:c r="D20" s="38" t="str"/>
      <x:c r="E20" s="29" t="str">
        <x:v>待执行</x:v>
      </x:c>
      <x:c r="F20" s="30" t="str"/>
    </x:row>
    <x:row r="21" ht="15" hidden="0" customHeight="1">
      <x:c r="A21" s="28" t="str">
        <x:v>CONTACT</x:v>
      </x:c>
      <x:c r="B21" s="29" t="str">
        <x:v>CONT-005</x:v>
      </x:c>
      <x:c r="C21" s="29" t="str"/>
      <x:c r="D21" s="38" t="str"/>
      <x:c r="E21" s="29" t="str">
        <x:v>待执行</x:v>
      </x:c>
      <x:c r="F21" s="30" t="str"/>
    </x:row>
    <x:row r="22" ht="15" hidden="0" customHeight="1">
      <x:c r="A22" s="28" t="str">
        <x:v>CONTACT</x:v>
      </x:c>
      <x:c r="B22" s="29" t="str">
        <x:v>CONT-006</x:v>
      </x:c>
      <x:c r="C22" s="29" t="str"/>
      <x:c r="D22" s="38" t="str"/>
      <x:c r="E22" s="29" t="str">
        <x:v>待执行</x:v>
      </x:c>
      <x:c r="F22" s="30" t="str"/>
    </x:row>
    <x:row r="23" ht="15" hidden="0" customHeight="1">
      <x:c r="A23" s="28" t="str">
        <x:v>CONTACT</x:v>
      </x:c>
      <x:c r="B23" s="29" t="str">
        <x:v>CONT-007</x:v>
      </x:c>
      <x:c r="C23" s="29" t="str"/>
      <x:c r="D23" s="38" t="str"/>
      <x:c r="E23" s="29" t="str">
        <x:v>待执行</x:v>
      </x:c>
      <x:c r="F23" s="30" t="str"/>
    </x:row>
    <x:row r="24" ht="15" hidden="0" customHeight="1">
      <x:c r="A24" s="28" t="str">
        <x:v>POOL_OPERATION</x:v>
      </x:c>
      <x:c r="B24" s="29" t="str">
        <x:v>POOL-001</x:v>
      </x:c>
      <x:c r="C24" s="29" t="str"/>
      <x:c r="D24" s="38" t="str"/>
      <x:c r="E24" s="29" t="str">
        <x:v>待执行</x:v>
      </x:c>
      <x:c r="F24" s="30" t="str"/>
    </x:row>
    <x:row r="25" ht="15" hidden="0" customHeight="1">
      <x:c r="A25" s="28" t="str">
        <x:v>POOL_OPERATION</x:v>
      </x:c>
      <x:c r="B25" s="29" t="str">
        <x:v>POOL-002</x:v>
      </x:c>
      <x:c r="C25" s="29" t="str"/>
      <x:c r="D25" s="38" t="str"/>
      <x:c r="E25" s="29" t="str">
        <x:v>待执行</x:v>
      </x:c>
      <x:c r="F25" s="30" t="str"/>
    </x:row>
    <x:row r="26" ht="15" hidden="0" customHeight="1">
      <x:c r="A26" s="28" t="str">
        <x:v>POOL_OPERATION</x:v>
      </x:c>
      <x:c r="B26" s="29" t="str">
        <x:v>POOL-003</x:v>
      </x:c>
      <x:c r="C26" s="29" t="str"/>
      <x:c r="D26" s="38" t="str"/>
      <x:c r="E26" s="29" t="str">
        <x:v>待执行</x:v>
      </x:c>
      <x:c r="F26" s="30" t="str"/>
    </x:row>
    <x:row r="27" ht="15" hidden="0" customHeight="1">
      <x:c r="A27" s="28" t="str">
        <x:v>POOL_OPERATION</x:v>
      </x:c>
      <x:c r="B27" s="29" t="str">
        <x:v>POOL-004</x:v>
      </x:c>
      <x:c r="C27" s="29" t="str"/>
      <x:c r="D27" s="38" t="str"/>
      <x:c r="E27" s="29" t="str">
        <x:v>待执行</x:v>
      </x:c>
      <x:c r="F27" s="30" t="str"/>
    </x:row>
    <x:row r="28" ht="15" hidden="0" customHeight="1">
      <x:c r="A28" s="28" t="str">
        <x:v>PRODUCT</x:v>
      </x:c>
      <x:c r="B28" s="29" t="str">
        <x:v>PROD-001</x:v>
      </x:c>
      <x:c r="C28" s="29" t="str"/>
      <x:c r="D28" s="38" t="str"/>
      <x:c r="E28" s="29" t="str">
        <x:v>待执行</x:v>
      </x:c>
      <x:c r="F28" s="30" t="str"/>
    </x:row>
    <x:row r="29" ht="15" hidden="0" customHeight="1">
      <x:c r="A29" s="28" t="str">
        <x:v>PRODUCT</x:v>
      </x:c>
      <x:c r="B29" s="29" t="str">
        <x:v>PROD-002</x:v>
      </x:c>
      <x:c r="C29" s="29" t="str"/>
      <x:c r="D29" s="38" t="str"/>
      <x:c r="E29" s="29" t="str">
        <x:v>待执行</x:v>
      </x:c>
      <x:c r="F29" s="30" t="str"/>
    </x:row>
    <x:row r="30" ht="15" hidden="0" customHeight="1">
      <x:c r="A30" s="28" t="str">
        <x:v>PRODUCT</x:v>
      </x:c>
      <x:c r="B30" s="29" t="str">
        <x:v>PROD-003</x:v>
      </x:c>
      <x:c r="C30" s="29" t="str"/>
      <x:c r="D30" s="38" t="str"/>
      <x:c r="E30" s="29" t="str">
        <x:v>待执行</x:v>
      </x:c>
      <x:c r="F30" s="30" t="str"/>
    </x:row>
    <x:row r="31" ht="15" hidden="0" customHeight="1">
      <x:c r="A31" s="28" t="str">
        <x:v>PRODUCT</x:v>
      </x:c>
      <x:c r="B31" s="29" t="str">
        <x:v>PROD-004</x:v>
      </x:c>
      <x:c r="C31" s="29" t="str"/>
      <x:c r="D31" s="38" t="str"/>
      <x:c r="E31" s="29" t="str">
        <x:v>待执行</x:v>
      </x:c>
      <x:c r="F31" s="30" t="str"/>
    </x:row>
    <x:row r="32" ht="15" hidden="0" customHeight="1">
      <x:c r="A32" s="28" t="str">
        <x:v>BUSINESS</x:v>
      </x:c>
      <x:c r="B32" s="29" t="str">
        <x:v>BUS-001</x:v>
      </x:c>
      <x:c r="C32" s="29" t="str"/>
      <x:c r="D32" s="38" t="str"/>
      <x:c r="E32" s="29" t="str">
        <x:v>待执行</x:v>
      </x:c>
      <x:c r="F32" s="30" t="str"/>
    </x:row>
    <x:row r="33" ht="15" hidden="0" customHeight="1">
      <x:c r="A33" s="28" t="str">
        <x:v>BUSINESS</x:v>
      </x:c>
      <x:c r="B33" s="29" t="str">
        <x:v>BUS-002</x:v>
      </x:c>
      <x:c r="C33" s="29" t="str"/>
      <x:c r="D33" s="38" t="str"/>
      <x:c r="E33" s="29" t="str">
        <x:v>待执行</x:v>
      </x:c>
      <x:c r="F33" s="30" t="str"/>
    </x:row>
    <x:row r="34" ht="15" hidden="0" customHeight="1">
      <x:c r="A34" s="28" t="str">
        <x:v>BUSINESS</x:v>
      </x:c>
      <x:c r="B34" s="29" t="str">
        <x:v>BUS-003</x:v>
      </x:c>
      <x:c r="C34" s="29" t="str"/>
      <x:c r="D34" s="38" t="str"/>
      <x:c r="E34" s="29" t="str">
        <x:v>待执行</x:v>
      </x:c>
      <x:c r="F34" s="30" t="str"/>
    </x:row>
    <x:row r="35" ht="15" hidden="0" customHeight="1">
      <x:c r="A35" s="28" t="str">
        <x:v>BUSINESS</x:v>
      </x:c>
      <x:c r="B35" s="29" t="str">
        <x:v>BUS-004</x:v>
      </x:c>
      <x:c r="C35" s="29" t="str"/>
      <x:c r="D35" s="38" t="str"/>
      <x:c r="E35" s="29" t="str">
        <x:v>待执行</x:v>
      </x:c>
      <x:c r="F35" s="30" t="str"/>
    </x:row>
    <x:row r="36" ht="15" hidden="0" customHeight="1">
      <x:c r="A36" s="28" t="str">
        <x:v>BUSINESS</x:v>
      </x:c>
      <x:c r="B36" s="29" t="str">
        <x:v>BUS-005</x:v>
      </x:c>
      <x:c r="C36" s="29" t="str"/>
      <x:c r="D36" s="38" t="str"/>
      <x:c r="E36" s="29" t="str">
        <x:v>待执行</x:v>
      </x:c>
      <x:c r="F36" s="30" t="str"/>
    </x:row>
    <x:row r="37" ht="15" hidden="0" customHeight="1">
      <x:c r="A37" s="28" t="str">
        <x:v>BUSINESS</x:v>
      </x:c>
      <x:c r="B37" s="29" t="str">
        <x:v>BUS-006</x:v>
      </x:c>
      <x:c r="C37" s="29" t="str"/>
      <x:c r="D37" s="38" t="str"/>
      <x:c r="E37" s="29" t="str">
        <x:v>待执行</x:v>
      </x:c>
      <x:c r="F37" s="30" t="str"/>
    </x:row>
    <x:row r="38" ht="15" hidden="0" customHeight="1">
      <x:c r="A38" s="28" t="str">
        <x:v>BUSINESS</x:v>
      </x:c>
      <x:c r="B38" s="29" t="str">
        <x:v>BUS-007</x:v>
      </x:c>
      <x:c r="C38" s="29" t="str"/>
      <x:c r="D38" s="38" t="str"/>
      <x:c r="E38" s="29" t="str">
        <x:v>待执行</x:v>
      </x:c>
      <x:c r="F38" s="30" t="str"/>
    </x:row>
    <x:row r="39" ht="15" hidden="0" customHeight="1">
      <x:c r="A39" s="28" t="str">
        <x:v>BUSINESS</x:v>
      </x:c>
      <x:c r="B39" s="29" t="str">
        <x:v>BUS-008</x:v>
      </x:c>
      <x:c r="C39" s="29" t="str"/>
      <x:c r="D39" s="38" t="str"/>
      <x:c r="E39" s="29" t="str">
        <x:v>待执行</x:v>
      </x:c>
      <x:c r="F39" s="30" t="str"/>
    </x:row>
    <x:row r="40" ht="15" hidden="0" customHeight="1">
      <x:c r="A40" s="28" t="str">
        <x:v>BUSINESS_PRODUCT</x:v>
      </x:c>
      <x:c r="B40" s="29" t="str">
        <x:v>QUOTE-001</x:v>
      </x:c>
      <x:c r="C40" s="29" t="str"/>
      <x:c r="D40" s="38" t="str"/>
      <x:c r="E40" s="29" t="str">
        <x:v>待执行</x:v>
      </x:c>
      <x:c r="F40" s="30" t="str"/>
    </x:row>
    <x:row r="41" ht="15" hidden="0" customHeight="1">
      <x:c r="A41" s="28" t="str">
        <x:v>BUSINESS_PRODUCT</x:v>
      </x:c>
      <x:c r="B41" s="29" t="str">
        <x:v>QUOTE-002</x:v>
      </x:c>
      <x:c r="C41" s="29" t="str"/>
      <x:c r="D41" s="38" t="str"/>
      <x:c r="E41" s="29" t="str">
        <x:v>待执行</x:v>
      </x:c>
      <x:c r="F41" s="30" t="str"/>
    </x:row>
    <x:row r="42" ht="15" hidden="0" customHeight="1">
      <x:c r="A42" s="28" t="str">
        <x:v>BUSINESS_PRODUCT</x:v>
      </x:c>
      <x:c r="B42" s="29" t="str">
        <x:v>QUOTE-003</x:v>
      </x:c>
      <x:c r="C42" s="29" t="str"/>
      <x:c r="D42" s="38" t="str"/>
      <x:c r="E42" s="29" t="str">
        <x:v>待执行</x:v>
      </x:c>
      <x:c r="F42" s="30" t="str"/>
    </x:row>
    <x:row r="43" ht="15" hidden="0" customHeight="1">
      <x:c r="A43" s="28" t="str">
        <x:v>BUSINESS_PRODUCT</x:v>
      </x:c>
      <x:c r="B43" s="29" t="str">
        <x:v>QUOTE-004</x:v>
      </x:c>
      <x:c r="C43" s="29" t="str"/>
      <x:c r="D43" s="38" t="str"/>
      <x:c r="E43" s="29" t="str">
        <x:v>待执行</x:v>
      </x:c>
      <x:c r="F43" s="30" t="str"/>
    </x:row>
    <x:row r="44" ht="15" hidden="0" customHeight="1">
      <x:c r="A44" s="28" t="str">
        <x:v>CONTRACT</x:v>
      </x:c>
      <x:c r="B44" s="29" t="str">
        <x:v>CON-001</x:v>
      </x:c>
      <x:c r="C44" s="29" t="str"/>
      <x:c r="D44" s="38" t="str"/>
      <x:c r="E44" s="29" t="str">
        <x:v>待执行</x:v>
      </x:c>
      <x:c r="F44" s="30" t="str"/>
    </x:row>
    <x:row r="45" ht="15" hidden="0" customHeight="1">
      <x:c r="A45" s="28" t="str">
        <x:v>CONTRACT</x:v>
      </x:c>
      <x:c r="B45" s="29" t="str">
        <x:v>CON-002</x:v>
      </x:c>
      <x:c r="C45" s="29" t="str"/>
      <x:c r="D45" s="38" t="str"/>
      <x:c r="E45" s="29" t="str">
        <x:v>待执行</x:v>
      </x:c>
      <x:c r="F45" s="30" t="str"/>
    </x:row>
    <x:row r="46" ht="15" hidden="0" customHeight="1">
      <x:c r="A46" s="28" t="str">
        <x:v>CONTRACT</x:v>
      </x:c>
      <x:c r="B46" s="29" t="str">
        <x:v>CON-003</x:v>
      </x:c>
      <x:c r="C46" s="29" t="str"/>
      <x:c r="D46" s="38" t="str"/>
      <x:c r="E46" s="29" t="str">
        <x:v>待执行</x:v>
      </x:c>
      <x:c r="F46" s="30" t="str"/>
    </x:row>
    <x:row r="47" ht="15" hidden="0" customHeight="1">
      <x:c r="A47" s="28" t="str">
        <x:v>CONTRACT</x:v>
      </x:c>
      <x:c r="B47" s="29" t="str">
        <x:v>CON-004</x:v>
      </x:c>
      <x:c r="C47" s="29" t="str"/>
      <x:c r="D47" s="38" t="str"/>
      <x:c r="E47" s="29" t="str">
        <x:v>待执行</x:v>
      </x:c>
      <x:c r="F47" s="30" t="str"/>
    </x:row>
    <x:row r="48" ht="15" hidden="0" customHeight="1">
      <x:c r="A48" s="28" t="str">
        <x:v>CONTRACT</x:v>
      </x:c>
      <x:c r="B48" s="29" t="str">
        <x:v>CON-005</x:v>
      </x:c>
      <x:c r="C48" s="29" t="str"/>
      <x:c r="D48" s="38" t="str"/>
      <x:c r="E48" s="29" t="str">
        <x:v>待执行</x:v>
      </x:c>
      <x:c r="F48" s="30" t="str"/>
    </x:row>
    <x:row r="49" ht="15" hidden="0" customHeight="1">
      <x:c r="A49" s="28" t="str">
        <x:v>CONTRACT</x:v>
      </x:c>
      <x:c r="B49" s="29" t="str">
        <x:v>CON-006</x:v>
      </x:c>
      <x:c r="C49" s="29" t="str"/>
      <x:c r="D49" s="38" t="str"/>
      <x:c r="E49" s="29" t="str">
        <x:v>待执行</x:v>
      </x:c>
      <x:c r="F49" s="30" t="str"/>
    </x:row>
    <x:row r="50" ht="15" hidden="0" customHeight="1">
      <x:c r="A50" s="28" t="str">
        <x:v>CONTRACT_PRODUCT</x:v>
      </x:c>
      <x:c r="B50" s="29" t="str">
        <x:v>CP-001</x:v>
      </x:c>
      <x:c r="C50" s="29" t="str"/>
      <x:c r="D50" s="38" t="str"/>
      <x:c r="E50" s="29" t="str">
        <x:v>待执行</x:v>
      </x:c>
      <x:c r="F50" s="30" t="str"/>
    </x:row>
    <x:row r="51" ht="15" hidden="0" customHeight="1">
      <x:c r="A51" s="28" t="str">
        <x:v>CONTRACT_PRODUCT</x:v>
      </x:c>
      <x:c r="B51" s="29" t="str">
        <x:v>CP-002</x:v>
      </x:c>
      <x:c r="C51" s="29" t="str"/>
      <x:c r="D51" s="38" t="str"/>
      <x:c r="E51" s="29" t="str">
        <x:v>待执行</x:v>
      </x:c>
      <x:c r="F51" s="30" t="str"/>
    </x:row>
    <x:row r="52" ht="15" hidden="0" customHeight="1">
      <x:c r="A52" s="28" t="str">
        <x:v>CONTRACT_PRODUCT</x:v>
      </x:c>
      <x:c r="B52" s="29" t="str">
        <x:v>CP-003</x:v>
      </x:c>
      <x:c r="C52" s="29" t="str"/>
      <x:c r="D52" s="38" t="str"/>
      <x:c r="E52" s="29" t="str">
        <x:v>待执行</x:v>
      </x:c>
      <x:c r="F52" s="30" t="str"/>
    </x:row>
    <x:row r="53" ht="15" hidden="0" customHeight="1">
      <x:c r="A53" s="28" t="str">
        <x:v>BPM_EVENT</x:v>
      </x:c>
      <x:c r="B53" s="29" t="str">
        <x:v>BPM-001</x:v>
      </x:c>
      <x:c r="C53" s="29" t="str"/>
      <x:c r="D53" s="38" t="str"/>
      <x:c r="E53" s="29" t="str">
        <x:v>待执行</x:v>
      </x:c>
      <x:c r="F53" s="30" t="str"/>
    </x:row>
    <x:row r="54" ht="15" hidden="0" customHeight="1">
      <x:c r="A54" s="28" t="str">
        <x:v>BPM_EVENT</x:v>
      </x:c>
      <x:c r="B54" s="29" t="str">
        <x:v>BPM-002</x:v>
      </x:c>
      <x:c r="C54" s="29" t="str"/>
      <x:c r="D54" s="38" t="str"/>
      <x:c r="E54" s="29" t="str">
        <x:v>待执行</x:v>
      </x:c>
      <x:c r="F54" s="30" t="str"/>
    </x:row>
    <x:row r="55" ht="15" hidden="0" customHeight="1">
      <x:c r="A55" s="28" t="str">
        <x:v>BPM_EVENT</x:v>
      </x:c>
      <x:c r="B55" s="29" t="str">
        <x:v>BPM-003</x:v>
      </x:c>
      <x:c r="C55" s="29" t="str"/>
      <x:c r="D55" s="38" t="str"/>
      <x:c r="E55" s="29" t="str">
        <x:v>待执行</x:v>
      </x:c>
      <x:c r="F55" s="30" t="str"/>
    </x:row>
    <x:row r="56" ht="15" hidden="0" customHeight="1">
      <x:c r="A56" s="28" t="str">
        <x:v>BPM_EVENT</x:v>
      </x:c>
      <x:c r="B56" s="29" t="str">
        <x:v>BPM-004</x:v>
      </x:c>
      <x:c r="C56" s="29" t="str"/>
      <x:c r="D56" s="38" t="str"/>
      <x:c r="E56" s="29" t="str">
        <x:v>待执行</x:v>
      </x:c>
      <x:c r="F56" s="30" t="str"/>
    </x:row>
    <x:row r="57" ht="15" hidden="0" customHeight="1">
      <x:c r="A57" s="28" t="str">
        <x:v>BPM_EVENT</x:v>
      </x:c>
      <x:c r="B57" s="29" t="str">
        <x:v>BPM-005</x:v>
      </x:c>
      <x:c r="C57" s="29" t="str"/>
      <x:c r="D57" s="38" t="str"/>
      <x:c r="E57" s="29" t="str">
        <x:v>待执行</x:v>
      </x:c>
      <x:c r="F57" s="30" t="str"/>
    </x:row>
    <x:row r="58" ht="15" hidden="0" customHeight="1">
      <x:c r="A58" s="28" t="str">
        <x:v>BPM_EVENT</x:v>
      </x:c>
      <x:c r="B58" s="29" t="str">
        <x:v>BPM-006</x:v>
      </x:c>
      <x:c r="C58" s="29" t="str"/>
      <x:c r="D58" s="38" t="str"/>
      <x:c r="E58" s="29" t="str">
        <x:v>待执行</x:v>
      </x:c>
      <x:c r="F58" s="30" t="str"/>
    </x:row>
    <x:row r="59" ht="15" hidden="0" customHeight="1">
      <x:c r="A59" s="28" t="str">
        <x:v>OA_TODO</x:v>
      </x:c>
      <x:c r="B59" s="29" t="str">
        <x:v>TODO-001</x:v>
      </x:c>
      <x:c r="C59" s="29" t="str"/>
      <x:c r="D59" s="38" t="str"/>
      <x:c r="E59" s="29" t="str">
        <x:v>待执行</x:v>
      </x:c>
      <x:c r="F59" s="30" t="str"/>
    </x:row>
    <x:row r="60" ht="15" hidden="0" customHeight="1">
      <x:c r="A60" s="28" t="str">
        <x:v>OA_TODO</x:v>
      </x:c>
      <x:c r="B60" s="29" t="str">
        <x:v>TODO-002</x:v>
      </x:c>
      <x:c r="C60" s="29" t="str"/>
      <x:c r="D60" s="38" t="str"/>
      <x:c r="E60" s="29" t="str">
        <x:v>待执行</x:v>
      </x:c>
      <x:c r="F60" s="30" t="str"/>
    </x:row>
    <x:row r="61" ht="15" hidden="0" customHeight="1">
      <x:c r="A61" s="28" t="str">
        <x:v>OA_TODO</x:v>
      </x:c>
      <x:c r="B61" s="29" t="str">
        <x:v>TODO-003</x:v>
      </x:c>
      <x:c r="C61" s="29" t="str"/>
      <x:c r="D61" s="38" t="str"/>
      <x:c r="E61" s="29" t="str">
        <x:v>待执行</x:v>
      </x:c>
      <x:c r="F61" s="30" t="str"/>
    </x:row>
    <x:row r="62" ht="15" hidden="0" customHeight="1">
      <x:c r="A62" s="28" t="str">
        <x:v>OA_TODO</x:v>
      </x:c>
      <x:c r="B62" s="29" t="str">
        <x:v>TODO-004</x:v>
      </x:c>
      <x:c r="C62" s="29" t="str"/>
      <x:c r="D62" s="38" t="str"/>
      <x:c r="E62" s="29" t="str">
        <x:v>待执行</x:v>
      </x:c>
      <x:c r="F62" s="30" t="str"/>
    </x:row>
    <x:row r="63" ht="15" hidden="0" customHeight="1">
      <x:c r="A63" s="28" t="str">
        <x:v>RECEIVABLE_PLAN</x:v>
      </x:c>
      <x:c r="B63" s="29" t="str">
        <x:v>PLAN-001</x:v>
      </x:c>
      <x:c r="C63" s="29" t="str"/>
      <x:c r="D63" s="38" t="str"/>
      <x:c r="E63" s="29" t="str">
        <x:v>待执行</x:v>
      </x:c>
      <x:c r="F63" s="30" t="str"/>
    </x:row>
    <x:row r="64" ht="15" hidden="0" customHeight="1">
      <x:c r="A64" s="28" t="str">
        <x:v>RECEIVABLE_PLAN</x:v>
      </x:c>
      <x:c r="B64" s="29" t="str">
        <x:v>PLAN-002</x:v>
      </x:c>
      <x:c r="C64" s="29" t="str"/>
      <x:c r="D64" s="38" t="str"/>
      <x:c r="E64" s="29" t="str">
        <x:v>待执行</x:v>
      </x:c>
      <x:c r="F64" s="30" t="str"/>
    </x:row>
    <x:row r="65" ht="15" hidden="0" customHeight="1">
      <x:c r="A65" s="28" t="str">
        <x:v>RECEIVABLE_PLAN</x:v>
      </x:c>
      <x:c r="B65" s="29" t="str">
        <x:v>PLAN-003</x:v>
      </x:c>
      <x:c r="C65" s="29" t="str"/>
      <x:c r="D65" s="38" t="str"/>
      <x:c r="E65" s="29" t="str">
        <x:v>待执行</x:v>
      </x:c>
      <x:c r="F65" s="30" t="str"/>
    </x:row>
    <x:row r="66" ht="15" hidden="0" customHeight="1">
      <x:c r="A66" s="28" t="str">
        <x:v>RECEIVABLE_PLAN</x:v>
      </x:c>
      <x:c r="B66" s="29" t="str">
        <x:v>PLAN-004</x:v>
      </x:c>
      <x:c r="C66" s="29" t="str"/>
      <x:c r="D66" s="38" t="str"/>
      <x:c r="E66" s="29" t="str">
        <x:v>待执行</x:v>
      </x:c>
      <x:c r="F66" s="30" t="str"/>
    </x:row>
    <x:row r="67" ht="15" hidden="0" customHeight="1">
      <x:c r="A67" s="28" t="str">
        <x:v>RECEIVABLE_PLAN</x:v>
      </x:c>
      <x:c r="B67" s="29" t="str">
        <x:v>PLAN-005</x:v>
      </x:c>
      <x:c r="C67" s="29" t="str"/>
      <x:c r="D67" s="38" t="str"/>
      <x:c r="E67" s="29" t="str">
        <x:v>待执行</x:v>
      </x:c>
      <x:c r="F67" s="30" t="str"/>
    </x:row>
    <x:row r="68" ht="15" hidden="0" customHeight="1">
      <x:c r="A68" s="28" t="str">
        <x:v>RECEIVABLE_PLAN</x:v>
      </x:c>
      <x:c r="B68" s="29" t="str">
        <x:v>PLAN-006</x:v>
      </x:c>
      <x:c r="C68" s="29" t="str"/>
      <x:c r="D68" s="38" t="str"/>
      <x:c r="E68" s="29" t="str">
        <x:v>待执行</x:v>
      </x:c>
      <x:c r="F68" s="30" t="str"/>
    </x:row>
    <x:row r="69" ht="15" hidden="0" customHeight="1">
      <x:c r="A69" s="28" t="str">
        <x:v>RECEIVABLE</x:v>
      </x:c>
      <x:c r="B69" s="29" t="str">
        <x:v>REC-001</x:v>
      </x:c>
      <x:c r="C69" s="29" t="str"/>
      <x:c r="D69" s="38" t="str"/>
      <x:c r="E69" s="29" t="str">
        <x:v>待执行</x:v>
      </x:c>
      <x:c r="F69" s="30" t="str"/>
    </x:row>
    <x:row r="70" ht="15" hidden="0" customHeight="1">
      <x:c r="A70" s="28" t="str">
        <x:v>RECEIVABLE</x:v>
      </x:c>
      <x:c r="B70" s="29" t="str">
        <x:v>REC-002</x:v>
      </x:c>
      <x:c r="C70" s="29" t="str"/>
      <x:c r="D70" s="38" t="str"/>
      <x:c r="E70" s="29" t="str">
        <x:v>待执行</x:v>
      </x:c>
      <x:c r="F70" s="30" t="str"/>
    </x:row>
    <x:row r="71" ht="15" hidden="0" customHeight="1">
      <x:c r="A71" s="28" t="str">
        <x:v>RECEIVABLE</x:v>
      </x:c>
      <x:c r="B71" s="29" t="str">
        <x:v>REC-003</x:v>
      </x:c>
      <x:c r="C71" s="29" t="str"/>
      <x:c r="D71" s="38" t="str"/>
      <x:c r="E71" s="29" t="str">
        <x:v>待执行</x:v>
      </x:c>
      <x:c r="F71" s="30" t="str"/>
    </x:row>
    <x:row r="72" ht="15" hidden="0" customHeight="1">
      <x:c r="A72" s="28" t="str">
        <x:v>RECEIVABLE</x:v>
      </x:c>
      <x:c r="B72" s="29" t="str">
        <x:v>REC-004</x:v>
      </x:c>
      <x:c r="C72" s="29" t="str"/>
      <x:c r="D72" s="38" t="str"/>
      <x:c r="E72" s="29" t="str">
        <x:v>待执行</x:v>
      </x:c>
      <x:c r="F72" s="30" t="str"/>
    </x:row>
    <x:row r="73" ht="15" hidden="0" customHeight="1">
      <x:c r="A73" s="28" t="str">
        <x:v>RECEIVABLE</x:v>
      </x:c>
      <x:c r="B73" s="29" t="str">
        <x:v>REC-005</x:v>
      </x:c>
      <x:c r="C73" s="29" t="str"/>
      <x:c r="D73" s="38" t="str"/>
      <x:c r="E73" s="29" t="str">
        <x:v>待执行</x:v>
      </x:c>
      <x:c r="F73" s="30" t="str"/>
    </x:row>
    <x:row r="74" ht="15" hidden="0" customHeight="1">
      <x:c r="A74" s="28" t="str">
        <x:v>RECEIVABLE</x:v>
      </x:c>
      <x:c r="B74" s="29" t="str">
        <x:v>REC-006</x:v>
      </x:c>
      <x:c r="C74" s="29" t="str"/>
      <x:c r="D74" s="38" t="str"/>
      <x:c r="E74" s="29" t="str">
        <x:v>待执行</x:v>
      </x:c>
      <x:c r="F74" s="30" t="str"/>
    </x:row>
    <x:row r="75" ht="15" hidden="0" customHeight="1">
      <x:c r="A75" s="28" t="str">
        <x:v>FOLLOW_UP</x:v>
      </x:c>
      <x:c r="B75" s="29" t="str">
        <x:v>FOL-001</x:v>
      </x:c>
      <x:c r="C75" s="29" t="str"/>
      <x:c r="D75" s="38" t="str"/>
      <x:c r="E75" s="29" t="str">
        <x:v>待执行</x:v>
      </x:c>
      <x:c r="F75" s="30" t="str"/>
    </x:row>
    <x:row r="76" ht="15" hidden="0" customHeight="1">
      <x:c r="A76" s="28" t="str">
        <x:v>FOLLOW_UP</x:v>
      </x:c>
      <x:c r="B76" s="29" t="str">
        <x:v>FOL-002</x:v>
      </x:c>
      <x:c r="C76" s="29" t="str"/>
      <x:c r="D76" s="38" t="str"/>
      <x:c r="E76" s="29" t="str">
        <x:v>待执行</x:v>
      </x:c>
      <x:c r="F76" s="30" t="str"/>
    </x:row>
    <x:row r="77" ht="15" hidden="0" customHeight="1">
      <x:c r="A77" s="28" t="str">
        <x:v>FOLLOW_UP</x:v>
      </x:c>
      <x:c r="B77" s="29" t="str">
        <x:v>FOL-003</x:v>
      </x:c>
      <x:c r="C77" s="29" t="str"/>
      <x:c r="D77" s="38" t="str"/>
      <x:c r="E77" s="29" t="str">
        <x:v>待执行</x:v>
      </x:c>
      <x:c r="F77" s="30" t="str"/>
    </x:row>
    <x:row r="78" ht="15" hidden="0" customHeight="1">
      <x:c r="A78" s="28" t="str">
        <x:v>FOLLOW_UP</x:v>
      </x:c>
      <x:c r="B78" s="29" t="str">
        <x:v>FOL-004</x:v>
      </x:c>
      <x:c r="C78" s="29" t="str"/>
      <x:c r="D78" s="38" t="str"/>
      <x:c r="E78" s="29" t="str">
        <x:v>待执行</x:v>
      </x:c>
      <x:c r="F78" s="30" t="str"/>
    </x:row>
    <x:row r="79" ht="15" hidden="0" customHeight="1">
      <x:c r="A79" s="28" t="str">
        <x:v>FOLLOW_UP</x:v>
      </x:c>
      <x:c r="B79" s="29" t="str">
        <x:v>FOL-005</x:v>
      </x:c>
      <x:c r="C79" s="29" t="str"/>
      <x:c r="D79" s="38" t="str"/>
      <x:c r="E79" s="29" t="str">
        <x:v>待执行</x:v>
      </x:c>
      <x:c r="F79" s="30" t="str"/>
    </x:row>
    <x:row r="80" ht="15" hidden="0" customHeight="1">
      <x:c r="A80" s="28" t="str">
        <x:v>WORKORDER</x:v>
      </x:c>
      <x:c r="B80" s="29" t="str">
        <x:v>WO-001</x:v>
      </x:c>
      <x:c r="C80" s="29" t="str"/>
      <x:c r="D80" s="38" t="str"/>
      <x:c r="E80" s="29" t="str">
        <x:v>待执行</x:v>
      </x:c>
      <x:c r="F80" s="30" t="str"/>
    </x:row>
    <x:row r="81" ht="15" hidden="0" customHeight="1">
      <x:c r="A81" s="28" t="str">
        <x:v>WORKORDER</x:v>
      </x:c>
      <x:c r="B81" s="29" t="str">
        <x:v>WO-002</x:v>
      </x:c>
      <x:c r="C81" s="29" t="str"/>
      <x:c r="D81" s="38" t="str"/>
      <x:c r="E81" s="29" t="str">
        <x:v>待执行</x:v>
      </x:c>
      <x:c r="F81" s="30" t="str"/>
    </x:row>
    <x:row r="82" ht="15" hidden="0" customHeight="1">
      <x:c r="A82" s="28" t="str">
        <x:v>WORKORDER</x:v>
      </x:c>
      <x:c r="B82" s="29" t="str">
        <x:v>WO-003</x:v>
      </x:c>
      <x:c r="C82" s="29" t="str"/>
      <x:c r="D82" s="38" t="str"/>
      <x:c r="E82" s="29" t="str">
        <x:v>待执行</x:v>
      </x:c>
      <x:c r="F82" s="30" t="str"/>
    </x:row>
    <x:row r="83" ht="15" hidden="0" customHeight="1">
      <x:c r="A83" s="28" t="str">
        <x:v>MARKETING_ACTIVITY</x:v>
      </x:c>
      <x:c r="B83" s="29" t="str">
        <x:v>MKT-001</x:v>
      </x:c>
      <x:c r="C83" s="29" t="str"/>
      <x:c r="D83" s="38" t="str"/>
      <x:c r="E83" s="29" t="str">
        <x:v>待执行</x:v>
      </x:c>
      <x:c r="F83" s="30" t="str"/>
    </x:row>
    <x:row r="84" ht="15" hidden="0" customHeight="1">
      <x:c r="A84" s="28" t="str">
        <x:v>MARKETING_ACTIVITY</x:v>
      </x:c>
      <x:c r="B84" s="29" t="str">
        <x:v>MKT-002</x:v>
      </x:c>
      <x:c r="C84" s="29" t="str"/>
      <x:c r="D84" s="38" t="str"/>
      <x:c r="E84" s="29" t="str">
        <x:v>待执行</x:v>
      </x:c>
      <x:c r="F84" s="30" t="str"/>
    </x:row>
    <x:row r="85" ht="15" hidden="0" customHeight="1">
      <x:c r="A85" s="31" t="str">
        <x:v>MARKETING_ACTIVITY</x:v>
      </x:c>
      <x:c r="B85" s="32" t="str">
        <x:v>MKT-003</x:v>
      </x:c>
      <x:c r="C85" s="32" t="str"/>
      <x:c r="D85" s="39" t="str"/>
      <x:c r="E85" s="32" t="str">
        <x:v>待执行</x:v>
      </x:c>
      <x:c r="F85" s="33" t="str"/>
    </x:row>
  </x:sheetData>
  <x:dataValidations count="1">
    <x:dataValidation type="list" sqref="E2:E85">
      <x:formula1>"待执行,成功,失败,跳过"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18" hidden="0" customWidth="1"/>
    <x:col min="5" max="5" width="15" hidden="0" customWidth="1"/>
    <x:col min="6" max="6" width="40" hidden="0" customWidth="1"/>
  </x:cols>
  <x:sheetData>
    <x:row r="1" ht="15" hidden="0" customHeight="1">
      <x:c r="A1" s="6" t="str">
        <x:v>assertion_id</x:v>
      </x:c>
      <x:c r="B1" s="6" t="str">
        <x:v>assertion_name</x:v>
      </x:c>
      <x:c r="C1" s="6" t="str">
        <x:v>expected_value</x:v>
      </x:c>
      <x:c r="D1" s="6" t="str">
        <x:v>actual_value</x:v>
      </x:c>
      <x:c r="E1" s="6" t="str">
        <x:v>status</x:v>
      </x:c>
      <x:c r="F1" s="6" t="str">
        <x:v>evidence</x:v>
      </x:c>
    </x:row>
    <x:row r="2" ht="15" hidden="0" customHeight="1">
      <x:c r="A2" s="25" t="str">
        <x:v>STAT-001</x:v>
      </x:c>
      <x:c r="B2" s="26" t="str">
        <x:v>2026-01 负责人1001 审批通过合同数</x:v>
      </x:c>
      <x:c r="C2" s="40" t="n">
        <x:f>COUNTIFS('全链联调数据'!B:B,"CONTRACT",'全链联调数据'!D:D,"TENANT-A",'全链联调数据'!G:G,"1001",'全链联调数据'!J:J,"审批通过",'全链联调数据'!M:M,"2026-01")</x:f>
        <x:v>2</x:v>
      </x:c>
      <x:c r="D2" s="40" t="str"/>
      <x:c r="E2" s="26" t="str">
        <x:f>IF(D2="","待执行",IF(ABS(C2-D2)&lt;0.0001,"通过","失败"))</x:f>
        <x:v>待执行</x:v>
      </x:c>
      <x:c r="F2" s="27" t="str"/>
    </x:row>
    <x:row r="3" ht="15" hidden="0" customHeight="1">
      <x:c r="A3" s="28" t="str">
        <x:v>STAT-002</x:v>
      </x:c>
      <x:c r="B3" s="29" t="str">
        <x:v>2026-01 负责人1001 审批通过合同金额</x:v>
      </x:c>
      <x:c r="C3" s="41" t="n">
        <x:f>SUMIFS('全链联调数据'!N:N,'全链联调数据'!B:B,"CONTRACT",'全链联调数据'!D:D,"TENANT-A",'全链联调数据'!G:G,"1001",'全链联调数据'!J:J,"审批通过",'全链联调数据'!M:M,"2026-01")</x:f>
        <x:v>3000.3</x:v>
      </x:c>
      <x:c r="D3" s="41" t="str"/>
      <x:c r="E3" s="29" t="str">
        <x:f>IF(D3="","待执行",IF(ABS(C3-D3)&lt;0.0001,"通过","失败"))</x:f>
        <x:v>待执行</x:v>
      </x:c>
      <x:c r="F3" s="30" t="str"/>
    </x:row>
    <x:row r="4" ht="15" hidden="0" customHeight="1">
      <x:c r="A4" s="28" t="str">
        <x:v>STAT-003</x:v>
      </x:c>
      <x:c r="B4" s="29" t="str">
        <x:v>2026-01 负责人1001 审批通过回款金额</x:v>
      </x:c>
      <x:c r="C4" s="41" t="n">
        <x:f>SUMIFS('全链联调数据'!N:N,'全链联调数据'!B:B,"RECEIVABLE",'全链联调数据'!D:D,"TENANT-A",'全链联调数据'!G:G,"1001",'全链联调数据'!J:J,"审批通过",'全链联调数据'!M:M,"2026-01")</x:f>
        <x:v>1400.12</x:v>
      </x:c>
      <x:c r="D4" s="41" t="str"/>
      <x:c r="E4" s="29" t="str">
        <x:f>IF(D4="","待执行",IF(ABS(C4-D4)&lt;0.0001,"通过","失败"))</x:f>
        <x:v>待执行</x:v>
      </x:c>
      <x:c r="F4" s="30" t="str"/>
    </x:row>
    <x:row r="5" ht="15" hidden="0" customHeight="1">
      <x:c r="A5" s="28" t="str">
        <x:v>STAT-004</x:v>
      </x:c>
      <x:c r="B5" s="29" t="str">
        <x:v>TENANT-A 客户成交率</x:v>
      </x:c>
      <x:c r="C5" s="46" t="n">
        <x:f>COUNTIFS('全链联调数据'!B:B,"CUSTOMER",'全链联调数据'!D:D,"TENANT-A",'全链联调数据'!J:J,"已成交")/COUNTIFS('全链联调数据'!B:B,"CUSTOMER",'全链联调数据'!D:D,"TENANT-A")</x:f>
        <x:v>0.4</x:v>
      </x:c>
      <x:c r="D5" s="46" t="str"/>
      <x:c r="E5" s="29" t="str">
        <x:f>IF(D5="","待执行",IF(ABS(C5-D5)&lt;0.0001,"通过","失败"))</x:f>
        <x:v>待执行</x:v>
      </x:c>
      <x:c r="F5" s="30" t="str"/>
    </x:row>
    <x:row r="6" ht="15" hidden="0" customHeight="1">
      <x:c r="A6" s="28" t="str">
        <x:v>STAT-005</x:v>
      </x:c>
      <x:c r="B6" s="29" t="str">
        <x:v>TENANT-A 商机赢单率</x:v>
      </x:c>
      <x:c r="C6" s="46" t="n">
        <x:f>COUNTIFS('全链联调数据'!B:B,"BUSINESS",'全链联调数据'!D:D,"TENANT-A",'全链联调数据'!J:J,"赢单")/COUNTIFS('全链联调数据'!B:B,"BUSINESS",'全链联调数据'!D:D,"TENANT-A")</x:f>
        <x:v>0.375</x:v>
      </x:c>
      <x:c r="D6" s="46" t="str"/>
      <x:c r="E6" s="29" t="str">
        <x:f>IF(D6="","待执行",IF(ABS(C6-D6)&lt;0.0001,"通过","失败"))</x:f>
        <x:v>待执行</x:v>
      </x:c>
      <x:c r="F6" s="30" t="str"/>
    </x:row>
    <x:row r="7" ht="15" hidden="0" customHeight="1">
      <x:c r="A7" s="28" t="str">
        <x:v>STAT-006</x:v>
      </x:c>
      <x:c r="B7" s="29" t="str">
        <x:v>审批通过合同产品销量</x:v>
      </x:c>
      <x:c r="C7" s="41" t="n">
        <x:f>SUMIFS('全链联调数据'!O:O,'全链联调数据'!B:B,"CONTRACT_PRODUCT",'全链联调数据'!D:D,"TENANT-A")</x:f>
        <x:v>9</x:v>
      </x:c>
      <x:c r="D7" s="41" t="str"/>
      <x:c r="E7" s="29" t="str">
        <x:f>IF(D7="","待执行",IF(ABS(C7-D7)&lt;0.0001,"通过","失败"))</x:f>
        <x:v>待执行</x:v>
      </x:c>
      <x:c r="F7" s="30" t="str"/>
    </x:row>
    <x:row r="8" ht="15" hidden="0" customHeight="1">
      <x:c r="A8" s="28" t="str">
        <x:v>STAT-007</x:v>
      </x:c>
      <x:c r="B8" s="29" t="str">
        <x:v>客户类跟进次数</x:v>
      </x:c>
      <x:c r="C8" s="41" t="n">
        <x:f>COUNTIFS('全链联调数据'!B:B,"FOLLOW_UP",'全链联调数据'!D:D,"TENANT-A",'全链联调数据'!K:K,"客户")</x:f>
        <x:v>4</x:v>
      </x:c>
      <x:c r="D8" s="41" t="str"/>
      <x:c r="E8" s="29" t="str">
        <x:f>IF(D8="","待执行",IF(ABS(C8-D8)&lt;0.0001,"通过","失败"))</x:f>
        <x:v>待执行</x:v>
      </x:c>
      <x:c r="F8" s="30" t="str"/>
    </x:row>
    <x:row r="9" ht="15" hidden="0" customHeight="1">
      <x:c r="A9" s="31" t="str">
        <x:v>STAT-008</x:v>
      </x:c>
      <x:c r="B9" s="32" t="str">
        <x:v>客户类跟进去重客户数</x:v>
      </x:c>
      <x:c r="C9" s="42" t="n">
        <x:v>2</x:v>
      </x:c>
      <x:c r="D9" s="42" t="str"/>
      <x:c r="E9" s="32" t="str">
        <x:f>IF(D9="","待执行",IF(ABS(C9-D9)&lt;0.0001,"通过","失败"))</x:f>
        <x:v>待执行</x:v>
      </x:c>
      <x:c r="F9" s="33" t="str"/>
    </x:row>
  </x:sheetData>
  <x:conditionalFormatting sqref="E2:E9">
    <x:cfRule type="containsText" dxfId="1" priority="1" operator="containsText" text="通过"/>
    <x:cfRule type="containsText" dxfId="2" priority="2" operator="containsText" text="失败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32" hidden="0" customWidth="1"/>
    <x:col min="4" max="4" width="20" hidden="0" customWidth="1"/>
    <x:col min="5" max="5" width="11" hidden="0" customWidth="1"/>
    <x:col min="6" max="6" width="17" hidden="0" customWidth="1"/>
    <x:col min="7" max="7" width="28" hidden="0" customWidth="1"/>
    <x:col min="8" max="8" width="17" hidden="0" customWidth="1"/>
    <x:col min="9" max="9" width="20" hidden="0" customWidth="1"/>
    <x:col min="10" max="10" width="38" hidden="0" customWidth="1"/>
    <x:col min="11" max="11" width="17" hidden="0" customWidth="1"/>
    <x:col min="12" max="12" width="15" hidden="0" customWidth="1"/>
  </x:cols>
  <x:sheetData>
    <x:row r="1" ht="15" hidden="0" customHeight="1">
      <x:c r="A1" s="6" t="str">
        <x:v>batch_id</x:v>
      </x:c>
      <x:c r="B1" s="6" t="str">
        <x:v>import_time</x:v>
      </x:c>
      <x:c r="C1" s="6" t="str">
        <x:v>file_name</x:v>
      </x:c>
      <x:c r="D1" s="6" t="str">
        <x:v>sheet_name</x:v>
      </x:c>
      <x:c r="E1" s="6" t="str">
        <x:v>row_no</x:v>
      </x:c>
      <x:c r="F1" s="6" t="str">
        <x:v>logical_id</x:v>
      </x:c>
      <x:c r="G1" s="6" t="str">
        <x:v>raw_name</x:v>
      </x:c>
      <x:c r="H1" s="6" t="str">
        <x:v>action</x:v>
      </x:c>
      <x:c r="I1" s="6" t="str">
        <x:v>result_code</x:v>
      </x:c>
      <x:c r="J1" s="6" t="str">
        <x:v>message</x:v>
      </x:c>
      <x:c r="K1" s="6" t="str">
        <x:v>actual_id</x:v>
      </x:c>
      <x:c r="L1" s="6" t="str">
        <x:v>status</x:v>
      </x:c>
    </x:row>
    <x:row r="2" ht="15" hidden="0" customHeight="1">
      <x:c r="A2" s="25" t="str">
        <x:v>CRM-IT-20260714-01</x:v>
      </x:c>
      <x:c r="B2" s="37" t="str"/>
      <x:c r="C2" s="26" t="str">
        <x:v>全CRM主链联调测试数据.xlsx</x:v>
      </x:c>
      <x:c r="D2" s="26" t="str">
        <x:v>客户直接导入</x:v>
      </x:c>
      <x:c r="E2" s="26" t="n">
        <x:v>2</x:v>
      </x:c>
      <x:c r="F2" s="26" t="str">
        <x:v>CUS-001</x:v>
      </x:c>
      <x:c r="G2" s="26" t="str">
        <x:v>[联调0714]星河科技</x:v>
      </x:c>
      <x:c r="H2" s="26" t="str"/>
      <x:c r="I2" s="26" t="str"/>
      <x:c r="J2" s="26" t="str"/>
      <x:c r="K2" s="26" t="str"/>
      <x:c r="L2" s="27" t="str">
        <x:v>待执行</x:v>
      </x:c>
    </x:row>
    <x:row r="3" ht="15" hidden="0" customHeight="1">
      <x:c r="A3" s="28" t="str">
        <x:v>CRM-IT-20260714-01</x:v>
      </x:c>
      <x:c r="B3" s="38" t="str"/>
      <x:c r="C3" s="29" t="str">
        <x:v>全CRM主链联调测试数据.xlsx</x:v>
      </x:c>
      <x:c r="D3" s="29" t="str">
        <x:v>客户直接导入</x:v>
      </x:c>
      <x:c r="E3" s="29" t="n">
        <x:v>3</x:v>
      </x:c>
      <x:c r="F3" s="29" t="str">
        <x:v>CUS-002</x:v>
      </x:c>
      <x:c r="G3" s="29" t="str">
        <x:v>[联调0714]远航制造</x:v>
      </x:c>
      <x:c r="H3" s="29" t="str"/>
      <x:c r="I3" s="29" t="str"/>
      <x:c r="J3" s="29" t="str"/>
      <x:c r="K3" s="29" t="str"/>
      <x:c r="L3" s="30" t="str">
        <x:v>待执行</x:v>
      </x:c>
    </x:row>
    <x:row r="4" ht="15" hidden="0" customHeight="1">
      <x:c r="A4" s="31" t="str">
        <x:v>CRM-IT-20260714-01</x:v>
      </x:c>
      <x:c r="B4" s="39" t="str"/>
      <x:c r="C4" s="32" t="str">
        <x:v>全CRM主链联调测试数据.xlsx</x:v>
      </x:c>
      <x:c r="D4" s="32" t="str">
        <x:v>全链联调数据</x:v>
      </x:c>
      <x:c r="E4" s="32" t="n">
        <x:v>2</x:v>
      </x:c>
      <x:c r="F4" s="32" t="str">
        <x:v>TENANT-A</x:v>
      </x:c>
      <x:c r="G4" s="32" t="str">
        <x:v>联调主租户</x:v>
      </x:c>
      <x:c r="H4" s="32" t="str"/>
      <x:c r="I4" s="32" t="str"/>
      <x:c r="J4" s="32" t="str"/>
      <x:c r="K4" s="32" t="str"/>
      <x:c r="L4" s="33" t="str">
        <x:v>待执行</x:v>
      </x:c>
    </x:row>
  </x:sheetData>
  <x:dataValidations count="1">
    <x:dataValidation type="list" sqref="L2:L4">
      <x:formula1>"待执行,通过,失败,阻塞"</x:formula1>
    </x:dataValidation>
  </x:dataValidations>
  <x:pageMargins left="0.7" right="0.7" top="0.75" bottom="0.75" header="0.3" footer="0.3"/>
</x:worksheet>
</file>